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xmlns:r="http://schemas.openxmlformats.org/officeDocument/2006/relationships" name="Graphs" sheetId="1" state="visible" r:id="rId1"/>
    <sheet xmlns:r="http://schemas.openxmlformats.org/officeDocument/2006/relationships" name="Table" sheetId="2" state="visible" r:id="rId2"/>
    <sheet xmlns:r="http://schemas.openxmlformats.org/officeDocument/2006/relationships" name="Information" sheetId="3" state="visible" r:id="rId3"/>
    <sheet xmlns:r="http://schemas.openxmlformats.org/officeDocument/2006/relationships" name="Sheet1" sheetId="4" state="visible" r:id="rId4"/>
  </sheets>
  <definedNames>
    <definedName name="Actual1">OFFSET(Sheet1!$B$2,0,0,COUNTA(Sheet1!$B:$B),-1)</definedName>
    <definedName name="Actual10">OFFSET(Sheet10!$B$2,0,0,COUNTA(Sheet10!$B:$B),-1)</definedName>
    <definedName name="Actual11">OFFSET(Sheet11!$B$2,0,0,COUNTA(Sheet11!$B:$B),-1)</definedName>
    <definedName name="Actual12">OFFSET(Sheet12!$B$2,0,0,COUNTA(Sheet12!$B:$B),-1)</definedName>
    <definedName name="Actual13">OFFSET(Sheet13!$B$2,0,0,COUNTA(Sheet13!$B:$B),-1)</definedName>
    <definedName name="Actual14">OFFSET(Sheet14!$B$2,0,0,COUNTA(Sheet14!$B:$B),-1)</definedName>
    <definedName name="Actual15">OFFSET(Sheet15!$B$2,0,0,COUNTA(Sheet15!$B:$B),-1)</definedName>
    <definedName name="Actual16">OFFSET(Sheet16!$B$2,0,0,COUNTA(Sheet16!$B:$B),-1)</definedName>
    <definedName name="Actual17">OFFSET(Sheet17!$B$2,0,0,COUNTA(Sheet17!$B:$B),-1)</definedName>
    <definedName name="Actual18">OFFSET(Sheet18!$B$2,0,0,COUNTA(Sheet18!$B:$B),-1)</definedName>
    <definedName name="Actual19">OFFSET(Sheet19!$B$2,0,0,COUNTA(Sheet19!$B:$B),-1)</definedName>
    <definedName name="Actual2">OFFSET(Sheet2!$B$2,0,0,COUNTA(Sheet2!$B:$B),-1)</definedName>
    <definedName name="Actual20">OFFSET(Sheet20!$B$2,0,0,COUNTA(Sheet20!$B:$B),-1)</definedName>
    <definedName name="Actual21">OFFSET(Sheet21!$B$2,0,0,COUNTA(Sheet21!$B:$B),-1)</definedName>
    <definedName name="Actual22">OFFSET(Sheet22!$B$2,0,0,COUNTA(Sheet22!$B:$B),-1)</definedName>
    <definedName name="Actual23">OFFSET(Sheet23!$B$2,0,0,COUNTA(Sheet23!$B:$B),-1)</definedName>
    <definedName name="Actual24">OFFSET(Sheet24!$B$2,0,0,COUNTA(Sheet24!$B:$B),-1)</definedName>
    <definedName name="Actual25">OFFSET(Sheet25!$B$2,0,0,COUNTA(Sheet25!$B:$B),-1)</definedName>
    <definedName name="Actual26">OFFSET(Sheet26!$B$2,0,0,COUNTA(Sheet26!$B:$B),-1)</definedName>
    <definedName name="Actual27">OFFSET(Sheet27!$B$2,0,0,COUNTA(Sheet27!$B:$B),-1)</definedName>
    <definedName name="Actual28">OFFSET(Sheet28!$B$2,0,0,COUNTA(Sheet28!$B:$B),-1)</definedName>
    <definedName name="Actual29">OFFSET(Sheet29!$B$2,0,0,COUNTA(Sheet29!$B:$B),-1)</definedName>
    <definedName name="Actual3">OFFSET(Sheet3!$B$2,0,0,COUNTA(Sheet3!$B:$B),-1)</definedName>
    <definedName name="Actual30">OFFSET(Sheet30!$B$2,0,0,COUNTA(Sheet30!$B:$B),-1)</definedName>
    <definedName name="Actual31">OFFSET(Sheet31!$B$2,0,0,COUNTA(Sheet31!$B:$B),-1)</definedName>
    <definedName name="Actual32">OFFSET(Sheet32!$B$2,0,0,COUNTA(Sheet32!$B:$B),-1)</definedName>
    <definedName name="Actual33">OFFSET(Sheet33!$B$2,0,0,COUNTA(Sheet33!$B:$B),-1)</definedName>
    <definedName name="Actual34">OFFSET(Sheet34!$B$2,0,0,COUNTA(Sheet34!$B:$B),-1)</definedName>
    <definedName name="Actual35">OFFSET(Sheet35!$B$2,0,0,COUNTA(Sheet35!$B:$B),-1)</definedName>
    <definedName name="Actual36">OFFSET(Sheet36!$B$2,0,0,COUNTA(Sheet36!$B:$B),-1)</definedName>
    <definedName name="Actual37">OFFSET(Sheet37!$B$2,0,0,COUNTA(Sheet37!$B:$B),-1)</definedName>
    <definedName name="Actual38">OFFSET(Sheet38!$B$2,0,0,COUNTA(Sheet38!$B:$B),-1)</definedName>
    <definedName name="Actual39">OFFSET(Sheet39!$B$2,0,0,COUNTA(Sheet39!$B:$B),-1)</definedName>
    <definedName name="Actual4">OFFSET(Sheet4!$B$2,0,0,COUNTA(Sheet4!$B:$B),-1)</definedName>
    <definedName name="Actual40">OFFSET(Sheet40!$B$2,0,0,COUNTA(Sheet40!$B:$B),-1)</definedName>
    <definedName name="Actual41">OFFSET(Sheet41!$B$2,0,0,COUNTA(Sheet41!$B:$B),-1)</definedName>
    <definedName name="Actual42">OFFSET(Sheet42!$B$2,0,0,COUNTA(Sheet42!$B:$B),-1)</definedName>
    <definedName name="Actual43">OFFSET(Sheet43!$B$2,0,0,COUNTA(Sheet43!$B:$B),-1)</definedName>
    <definedName name="Actual44">OFFSET(Sheet44!$B$2,0,0,COUNTA(Sheet44!$B:$B),-1)</definedName>
    <definedName name="Actual45">OFFSET(Sheet45!$B$2,0,0,COUNTA(Sheet45!$B:$B),-1)</definedName>
    <definedName name="Actual46">OFFSET(Sheet46!$B$2,0,0,COUNTA(Sheet46!$B:$B),-1)</definedName>
    <definedName name="Actual47">OFFSET(Sheet47!$B$2,0,0,COUNTA(Sheet47!$B:$B),-1)</definedName>
    <definedName name="Actual48">OFFSET(Sheet48!$B$2,0,0,COUNTA(Sheet48!$B:$B),-1)</definedName>
    <definedName name="Actual49">OFFSET(Sheet49!$B$2,0,0,COUNTA(Sheet49!$B:$B),-1)</definedName>
    <definedName name="Actual5">OFFSET(Sheet5!$B$2,0,0,COUNTA(Sheet5!$B:$B),-1)</definedName>
    <definedName name="Actual50">OFFSET(Sheet50!$B$2,0,0,COUNTA(Sheet50!$B:$B),-1)</definedName>
    <definedName name="Actual6">OFFSET(Sheet6!$B$2,0,0,COUNTA(Sheet6!$B:$B),-1)</definedName>
    <definedName name="Actual7">OFFSET(Sheet7!$B$2,0,0,COUNTA(Sheet7!$B:$B),-1)</definedName>
    <definedName name="Actual8">OFFSET(Sheet8!$B$2,0,0,COUNTA(Sheet8!$B:$B),-1)</definedName>
    <definedName name="Actual9">OFFSET(Sheet9!$B$2,0,0,COUNTA(Sheet9!$B:$B),-1)</definedName>
    <definedName name="ActualM1">OFFSET(Sheet1!$D$2,0,0,COUNTA(Sheet1!$D:$D),-1)</definedName>
    <definedName name="ActualM10">OFFSET(Sheet10!$D$2,0,0,COUNTA(Sheet10!$D:$D),-1)</definedName>
    <definedName name="ActualM11">OFFSET(Sheet11!$D$2,0,0,COUNTA(Sheet11!$D:$D),-1)</definedName>
    <definedName name="ActualM12">OFFSET(Sheet12!$D$2,0,0,COUNTA(Sheet12!$D:$D),-1)</definedName>
    <definedName name="ActualM13">OFFSET(Sheet13!$D$2,0,0,COUNTA(Sheet13!$D:$D),-1)</definedName>
    <definedName name="ActualM14">OFFSET(Sheet14!$D$2,0,0,COUNTA(Sheet14!$D:$D),-1)</definedName>
    <definedName name="ActualM15">OFFSET(Sheet15!$D$2,0,0,COUNTA(Sheet15!$D:$D),-1)</definedName>
    <definedName name="ActualM16">OFFSET(Sheet16!$D$2,0,0,COUNTA(Sheet16!$D:$D),-1)</definedName>
    <definedName name="ActualM17">OFFSET(Sheet17!$D$2,0,0,COUNTA(Sheet17!$D:$D),-1)</definedName>
    <definedName name="ActualM18">OFFSET(Sheet18!$D$2,0,0,COUNTA(Sheet18!$D:$D),-1)</definedName>
    <definedName name="ActualM19">OFFSET(Sheet19!$D$2,0,0,COUNTA(Sheet19!$D:$D),-1)</definedName>
    <definedName name="ActualM2">OFFSET(Sheet2!$D$2,0,0,COUNTA(Sheet2!$D:$D),-1)</definedName>
    <definedName name="ActualM20">OFFSET(Sheet20!$D$2,0,0,COUNTA(Sheet20!$D:$D),-1)</definedName>
    <definedName name="ActualM21">OFFSET(Sheet21!$D$2,0,0,COUNTA(Sheet21!$D:$D),-1)</definedName>
    <definedName name="ActualM22">OFFSET(Sheet22!$D$2,0,0,COUNTA(Sheet22!$D:$D),-1)</definedName>
    <definedName name="ActualM23">OFFSET(Sheet23!$D$2,0,0,COUNTA(Sheet23!$D:$D),-1)</definedName>
    <definedName name="ActualM24">OFFSET(Sheet24!$D$2,0,0,COUNTA(Sheet24!$D:$D),-1)</definedName>
    <definedName name="ActualM25">OFFSET(Sheet25!$D$2,0,0,COUNTA(Sheet25!$D:$D),-1)</definedName>
    <definedName name="ActualM26">OFFSET(Sheet26!$D$2,0,0,COUNTA(Sheet26!$D:$D),-1)</definedName>
    <definedName name="ActualM27">OFFSET(Sheet27!$D$2,0,0,COUNTA(Sheet27!$D:$D),-1)</definedName>
    <definedName name="ActualM28">OFFSET(Sheet28!$D$2,0,0,COUNTA(Sheet28!$D:$D),-1)</definedName>
    <definedName name="ActualM29">OFFSET(Sheet29!$D$2,0,0,COUNTA(Sheet29!$D:$D),-1)</definedName>
    <definedName name="ActualM3">OFFSET(Sheet3!$D$2,0,0,COUNTA(Sheet3!$D:$D),-1)</definedName>
    <definedName name="ActualM30">OFFSET(Sheet30!$D$2,0,0,COUNTA(Sheet30!$D:$D),-1)</definedName>
    <definedName name="ActualM31">OFFSET(Sheet31!$D$2,0,0,COUNTA(Sheet31!$D:$D),-1)</definedName>
    <definedName name="ActualM32">OFFSET(Sheet32!$D$2,0,0,COUNTA(Sheet32!$D:$D),-1)</definedName>
    <definedName name="ActualM33">OFFSET(Sheet33!$D$2,0,0,COUNTA(Sheet33!$D:$D),-1)</definedName>
    <definedName name="ActualM34">OFFSET(Sheet34!$D$2,0,0,COUNTA(Sheet34!$D:$D),-1)</definedName>
    <definedName name="ActualM35">OFFSET(Sheet35!$D$2,0,0,COUNTA(Sheet35!$D:$D),-1)</definedName>
    <definedName name="ActualM36">OFFSET(Sheet36!$D$2,0,0,COUNTA(Sheet36!$D:$D),-1)</definedName>
    <definedName name="ActualM37">OFFSET(Sheet37!$D$2,0,0,COUNTA(Sheet37!$D:$D),-1)</definedName>
    <definedName name="ActualM38">OFFSET(Sheet38!$D$2,0,0,COUNTA(Sheet38!$D:$D),-1)</definedName>
    <definedName name="ActualM39">OFFSET(Sheet39!$D$2,0,0,COUNTA(Sheet39!$D:$D),-1)</definedName>
    <definedName name="ActualM4">OFFSET(Sheet4!$D$2,0,0,COUNTA(Sheet4!$D:$D),-1)</definedName>
    <definedName name="ActualM40">OFFSET(Sheet40!$D$2,0,0,COUNTA(Sheet40!$D:$D),-1)</definedName>
    <definedName name="ActualM41">OFFSET(Sheet41!$D$2,0,0,COUNTA(Sheet41!$D:$D),-1)</definedName>
    <definedName name="ActualM42">OFFSET(Sheet42!$D$2,0,0,COUNTA(Sheet42!$D:$D),-1)</definedName>
    <definedName name="ActualM43">OFFSET(Sheet43!$D$2,0,0,COUNTA(Sheet43!$D:$D),-1)</definedName>
    <definedName name="ActualM44">OFFSET(Sheet45!$D$2,0,0,COUNTA(Sheet45!$D:$D),-1)</definedName>
    <definedName name="ActualM45">OFFSET(Sheet45!$D$2,0,0,COUNTA(Sheet45!$D:$D),-1)</definedName>
    <definedName name="ActualM46">OFFSET(Sheet46!$D$2,0,0,COUNTA(Sheet46!$D:$D),-1)</definedName>
    <definedName name="ActualM47">OFFSET(Sheet47!$D$2,0,0,COUNTA(Sheet47!$D:$D),-1)</definedName>
    <definedName name="ActualM48">OFFSET(Sheet48!$D$2,0,0,COUNTA(Sheet48!$D:$D),-1)</definedName>
    <definedName name="ActualM49">OFFSET(Sheet49!$D$2,0,0,COUNTA(Sheet49!$D:$D),-1)</definedName>
    <definedName name="ActualM5">OFFSET(Sheet5!$D$2,0,0,COUNTA(Sheet5!$D:$D),-1)</definedName>
    <definedName name="ActualM50">OFFSET(Sheet50!$D$2,0,0,COUNTA(Sheet50!$D:$D),-1)</definedName>
    <definedName name="ActualM6">OFFSET(Sheet6!$D$2,0,0,COUNTA(Sheet6!$D:$D),-1)</definedName>
    <definedName name="ActualM7">OFFSET(Sheet7!$D$2,0,0,COUNTA(Sheet7!$D:$D),-1)</definedName>
    <definedName name="ActualM8">OFFSET(Sheet8!$D$2,0,0,COUNTA(Sheet8!$D:$D),-1)</definedName>
    <definedName name="ActualM9">OFFSET(Sheet9!$D$2,0,0,COUNTA(Sheet9!$D:$D),-1)</definedName>
    <definedName name="ActualP1">OFFSET(Sheet1!$C$2,0,0,COUNTA(Sheet1!$C:$C),-1)</definedName>
    <definedName name="ActualP10">OFFSET(Sheet10!$C$2,0,0,COUNTA(Sheet10!$C:$C),-1)</definedName>
    <definedName name="ActualP11">OFFSET(Sheet11!$C$2,0,0,COUNTA(Sheet11!$C:$C),-1)</definedName>
    <definedName name="ActualP12">OFFSET(Sheet12!$C$2,0,0,COUNTA(Sheet12!$C:$C),-1)</definedName>
    <definedName name="ActualP13">OFFSET(Sheet13!$C$2,0,0,COUNTA(Sheet13!$C:$C),-1)</definedName>
    <definedName name="ActualP14">OFFSET(Sheet14!$C$2,0,0,COUNTA(Sheet14!$C:$C),-1)</definedName>
    <definedName name="ActualP15">OFFSET(Sheet15!$C$2,0,0,COUNTA(Sheet15!$C:$C),-1)</definedName>
    <definedName name="ActualP16">OFFSET(Sheet16!$C$2,0,0,COUNTA(Sheet16!$C:$C),-1)</definedName>
    <definedName name="ActualP17">OFFSET(Sheet17!$C$2,0,0,COUNTA(Sheet17!$C:$C),-1)</definedName>
    <definedName name="ActualP18">OFFSET(Sheet18!$C$2,0,0,COUNTA(Sheet18!$C:$C),-1)</definedName>
    <definedName name="ActualP19">OFFSET(Sheet19!$C$2,0,0,COUNTA(Sheet19!$C:$C),-1)</definedName>
    <definedName name="ActualP2">OFFSET(Sheet2!$C$2,0,0,COUNTA(Sheet2!$C:$C),-1)</definedName>
    <definedName name="ActualP20">OFFSET(Sheet20!$C$2,0,0,COUNTA(Sheet20!$C:$C),-1)</definedName>
    <definedName name="ActualP21">OFFSET(Sheet21!$C$2,0,0,COUNTA(Sheet21!$C:$C),-1)</definedName>
    <definedName name="ActualP22">OFFSET(Sheet22!$C$2,0,0,COUNTA(Sheet22!$C:$C),-1)</definedName>
    <definedName name="ActualP23">OFFSET(Sheet23!$C$2,0,0,COUNTA(Sheet23!$C:$C),-1)</definedName>
    <definedName name="ActualP24">OFFSET(Sheet24!$C$2,0,0,COUNTA(Sheet24!$C:$C),-1)</definedName>
    <definedName name="ActualP25">OFFSET(Sheet25!$C$2,0,0,COUNTA(Sheet25!$C:$C),-1)</definedName>
    <definedName name="ActualP26">OFFSET(Sheet26!$C$2,0,0,COUNTA(Sheet26!$C:$C),-1)</definedName>
    <definedName name="ActualP27">OFFSET(Sheet27!$C$2,0,0,COUNTA(Sheet27!$C:$C),-1)</definedName>
    <definedName name="ActualP28">OFFSET(Sheet28!$C$2,0,0,COUNTA(Sheet28!$C:$C),-1)</definedName>
    <definedName name="ActualP29">OFFSET(Sheet29!$C$2,0,0,COUNTA(Sheet29!$C:$C),-1)</definedName>
    <definedName name="ActualP3">OFFSET(Sheet3!$C$2,0,0,COUNTA(Sheet3!$C:$C),-1)</definedName>
    <definedName name="ActualP30">OFFSET(Sheet30!$C$2,0,0,COUNTA(Sheet30!$C:$C),-1)</definedName>
    <definedName name="ActualP31">OFFSET(Sheet31!$C$2,0,0,COUNTA(Sheet31!$C:$C),-1)</definedName>
    <definedName name="ActualP32">OFFSET(Sheet32!$C$2,0,0,COUNTA(Sheet32!$C:$C),-1)</definedName>
    <definedName name="ActualP33">OFFSET(Sheet33!$C$2,0,0,COUNTA(Sheet33!$C:$C),-1)</definedName>
    <definedName name="ActualP34">OFFSET(Sheet34!$C$2,0,0,COUNTA(Sheet34!$C:$C),-1)</definedName>
    <definedName name="ActualP35">OFFSET(Sheet35!$C$2,0,0,COUNTA(Sheet35!$C:$C),-1)</definedName>
    <definedName name="ActualP36">OFFSET(Sheet36!$C$2,0,0,COUNTA(Sheet36!$C:$C),-1)</definedName>
    <definedName name="ActualP37">OFFSET(Sheet37!$C$2,0,0,COUNTA(Sheet37!$C:$C),-1)</definedName>
    <definedName name="ActualP38">OFFSET(Sheet38!$C$2,0,0,COUNTA(Sheet38!$C:$C),-1)</definedName>
    <definedName name="ActualP39">OFFSET(Sheet39!$C$2,0,0,COUNTA(Sheet39!$C:$C),-1)</definedName>
    <definedName name="ActualP4">OFFSET(Sheet4!$C$2,0,0,COUNTA(Sheet4!$C:$C),-1)</definedName>
    <definedName name="ActualP40">OFFSET(Sheet40!$C$2,0,0,COUNTA(Sheet40!$C:$C),-1)</definedName>
    <definedName name="ActualP41">OFFSET(Sheet41!$C$2,0,0,COUNTA(Sheet41!$C:$C),-1)</definedName>
    <definedName name="ActualP42">OFFSET(Sheet42!$C$2,0,0,COUNTA(Sheet42!$C:$C),-1)</definedName>
    <definedName name="ActualP43">OFFSET(Sheet43!$C$2,0,0,COUNTA(Sheet43!$C:$C),-1)</definedName>
    <definedName name="ActualP44">OFFSET(Sheet45!$C$2,0,0,COUNTA(Sheet45!$C:$C),-1)</definedName>
    <definedName name="ActualP45">OFFSET(Sheet45!$C$2,0,0,COUNTA(Sheet45!$C:$C),-1)</definedName>
    <definedName name="ActualP46">OFFSET(Sheet46!$C$2,0,0,COUNTA(Sheet46!$C:$C),-1)</definedName>
    <definedName name="ActualP47">OFFSET(Sheet47!$C$2,0,0,COUNTA(Sheet47!$C:$C),-1)</definedName>
    <definedName name="ActualP48">OFFSET(Sheet48!$C$2,0,0,COUNTA(Sheet48!$C:$C),-1)</definedName>
    <definedName name="ActualP49">OFFSET(Sheet49!$C$2,0,0,COUNTA(Sheet49!$C:$C),-1)</definedName>
    <definedName name="ActualP5">OFFSET(Sheet5!$C$2,0,0,COUNTA(Sheet5!$C:$C),-1)</definedName>
    <definedName name="ActualP50">OFFSET(Sheet50!$C$2,0,0,COUNTA(Sheet50!$C:$C),-1)</definedName>
    <definedName name="ActualP6">OFFSET(Sheet6!$C$2,0,0,COUNTA(Sheet6!$C:$C),-1)</definedName>
    <definedName name="ActualP7">OFFSET(Sheet7!$C$2,0,0,COUNTA(Sheet7!$C:$C),-1)</definedName>
    <definedName name="ActualP8">OFFSET(Sheet8!$C$2,0,0,COUNTA(Sheet8!$C:$C),-1)</definedName>
    <definedName name="ActualP9">OFFSET(Sheet9!$C$2,0,0,COUNTA(Sheet9!$C:$C),-1)</definedName>
    <definedName name="Depth1">OFFSET(Sheet1!$A$2,0,0,COUNTA(Sheet1!$A:$A),-1)</definedName>
    <definedName name="Depth10">OFFSET(Sheet10!$A$2,0,0,COUNTA(Sheet10!$A:$A),-1)</definedName>
    <definedName name="Depth11">OFFSET(Sheet11!$A$2,0,0,COUNTA(Sheet11!$A:$A),-1)</definedName>
    <definedName name="Depth12">OFFSET(Sheet12!$A$2,0,0,COUNTA(Sheet12!$A:$A),-1)</definedName>
    <definedName name="Depth13">OFFSET(Sheet13!$A$2,0,0,COUNTA(Sheet13!$A:$A),-1)</definedName>
    <definedName name="Depth14">OFFSET(Sheet14!$A$2,0,0,COUNTA(Sheet14!$A:$A),-1)</definedName>
    <definedName name="Depth15">OFFSET(Sheet15!$A$2,0,0,COUNTA(Sheet15!$A:$A),-1)</definedName>
    <definedName name="Depth16">OFFSET(Sheet16!$A$2,0,0,COUNTA(Sheet16!$A:$A),-1)</definedName>
    <definedName name="Depth17">OFFSET(Sheet17!$A$2,0,0,COUNTA(Sheet17!$A:$A),-1)</definedName>
    <definedName name="Depth18">OFFSET(Sheet18!$A$2,0,0,COUNTA(Sheet18!$A:$A),-1)</definedName>
    <definedName name="Depth19">OFFSET(Sheet19!$A$2,0,0,COUNTA(Sheet19!$A:$A),-1)</definedName>
    <definedName name="Depth2">OFFSET(Sheet2!$A$2,0,0,COUNTA(Sheet2!$A:$A),-1)</definedName>
    <definedName name="Depth20">OFFSET(Sheet20!$A$2,0,0,COUNTA(Sheet20!$A:$A),-1)</definedName>
    <definedName name="Depth21">OFFSET(Sheet21!$A$2,0,0,COUNTA(Sheet21!$A:$A),-1)</definedName>
    <definedName name="Depth22">OFFSET(Sheet22!$A$2,0,0,COUNTA(Sheet22!$A:$A),-1)</definedName>
    <definedName name="Depth23">OFFSET(Sheet23!$A$2,0,0,COUNTA(Sheet23!$A:$A),-1)</definedName>
    <definedName name="Depth24">OFFSET(Sheet24!$A$2,0,0,COUNTA(Sheet24!$A:$A),-1)</definedName>
    <definedName name="Depth25">OFFSET(Sheet25!$A$2,0,0,COUNTA(Sheet25!$A:$A),-1)</definedName>
    <definedName name="Depth26">OFFSET(Sheet26!$A$2,0,0,COUNTA(Sheet26!$A:$A),-1)</definedName>
    <definedName name="Depth27">OFFSET(Sheet27!$A$2,0,0,COUNTA(Sheet27!$A:$A),-1)</definedName>
    <definedName name="Depth28">OFFSET(Sheet28!$A$2,0,0,COUNTA(Sheet28!$A:$A),-1)</definedName>
    <definedName name="Depth29">OFFSET(Sheet29!$A$2,0,0,COUNTA(Sheet29!$A:$A),-1)</definedName>
    <definedName name="Depth3">OFFSET(Sheet3!$A$2,0,0,COUNTA(Sheet3!$A:$A),-1)</definedName>
    <definedName name="Depth30">OFFSET(Sheet30!$A$2,0,0,COUNTA(Sheet30!$A:$A),-1)</definedName>
    <definedName name="Depth31">OFFSET(Sheet31!$A$2,0,0,COUNTA(Sheet31!$A:$A),-1)</definedName>
    <definedName name="Depth32">OFFSET(Sheet32!$A$2,0,0,COUNTA(Sheet32!$A:$A),-1)</definedName>
    <definedName name="Depth33">OFFSET(Sheet33!$A$2,0,0,COUNTA(Sheet33!$A:$A),-1)</definedName>
    <definedName name="Depth34">OFFSET(Sheet34!$A$2,0,0,COUNTA(Sheet34!$A:$A),-1)</definedName>
    <definedName name="Depth35">OFFSET(Sheet35!$A$2,0,0,COUNTA(Sheet35!$A:$A),-1)</definedName>
    <definedName name="Depth36">OFFSET(Sheet36!$A$2,0,0,COUNTA(Sheet36!$A:$A),-1)</definedName>
    <definedName name="Depth37">OFFSET(Sheet37!$A$2,0,0,COUNTA(Sheet37!$A:$A),-1)</definedName>
    <definedName name="Depth38">OFFSET(Sheet38!$A$2,0,0,COUNTA(Sheet38!$A:$A),-1)</definedName>
    <definedName name="Depth39">OFFSET(Sheet39!$A$2,0,0,COUNTA(Sheet39!$A:$A),-1)</definedName>
    <definedName name="Depth4">OFFSET(Sheet4!$A$2,0,0,COUNTA(Sheet4!$A:$A),-1)</definedName>
    <definedName name="Depth40">OFFSET(Sheet40!$A$2,0,0,COUNTA(Sheet40!$A:$A),-1)</definedName>
    <definedName name="Depth41">OFFSET(Sheet41!$A$2,0,0,COUNTA(Sheet41!$A:$A),-1)</definedName>
    <definedName name="Depth42">OFFSET(Sheet42!$A$2,0,0,COUNTA(Sheet42!$A:$A),-1)</definedName>
    <definedName name="Depth43">OFFSET(Sheet43!$A$2,0,0,COUNTA(Sheet43!$A:$A),-1)</definedName>
    <definedName name="Depth44">OFFSET(Sheet44!$A$2,0,0,COUNTA(Sheet44!$A:$A),-1)</definedName>
    <definedName name="Depth45">OFFSET(Sheet45!$A$2,0,0,COUNTA(Sheet45!$A:$A),-1)</definedName>
    <definedName name="Depth46">OFFSET(Sheet46!$A$2,0,0,COUNTA(Sheet46!$A:$A),-1)</definedName>
    <definedName name="Depth47">OFFSET(Sheet47!$A$2,0,0,COUNTA(Sheet47!$A:$A),-1)</definedName>
    <definedName name="Depth48">OFFSET(Sheet48!$A$2,0,0,COUNTA(Sheet48!$A:$A),-1)</definedName>
    <definedName name="Depth49">OFFSET(Sheet49!$A$2,0,0,COUNTA(Sheet49!$A:$A),-1)</definedName>
    <definedName name="Depth5">OFFSET(Sheet5!$A$2,0,0,COUNTA(Sheet5!$A:$A),-1)</definedName>
    <definedName name="Depth50">OFFSET(Sheet50!$A$2,0,0,COUNTA(Sheet50!$A:$A),-1)</definedName>
    <definedName name="Depth6">OFFSET(Sheet6!$A$2,0,0,COUNTA(Sheet6!$A:$A),-1)</definedName>
    <definedName name="Depth7">OFFSET(Sheet7!$A$2,0,0,COUNTA(Sheet7!$A:$A),-1)</definedName>
    <definedName name="Depth8">OFFSET(Sheet8!$A$2,0,0,COUNTA(Sheet8!$A:$A),-1)</definedName>
    <definedName name="Depth9">OFFSET(Sheet9!$A$2,0,0,COUNTA(Sheet9!$A:$A),-1)</definedName>
    <definedName name="Planned1">OFFSET(Sheet1!$G$2,0,0,COUNTA(Sheet1!$G:$G),-1)</definedName>
    <definedName name="Planned10">OFFSET(Sheet10!$G$2,0,0,COUNTA(Sheet10!$G:$G),-1)</definedName>
    <definedName name="Planned11">OFFSET(Sheet11!$G$2,0,0,COUNTA(Sheet11!$G:$G),-1)</definedName>
    <definedName name="Planned12">OFFSET(Sheet12!$G$2,0,0,COUNTA(Sheet12!$G:$G),-1)</definedName>
    <definedName name="Planned13">OFFSET(Sheet13!$G$2,0,0,COUNTA(Sheet13!$G:$G),-1)</definedName>
    <definedName name="Planned14">OFFSET(Sheet14!$G$2,0,0,COUNTA(Sheet14!$G:$G),-1)</definedName>
    <definedName name="Planned15">OFFSET(Sheet15!$G$2,0,0,COUNTA(Sheet15!$G:$G),-1)</definedName>
    <definedName name="Planned16">OFFSET(Sheet16!$G$2,0,0,COUNTA(Sheet16!$G:$G),-1)</definedName>
    <definedName name="Planned17">OFFSET(Sheet17!$G$2,0,0,COUNTA(Sheet17!$G:$G),-1)</definedName>
    <definedName name="Planned18">OFFSET(Sheet18!$G$2,0,0,COUNTA(Sheet18!$G:$G),-1)</definedName>
    <definedName name="Planned19">OFFSET(Sheet19!$G$2,0,0,COUNTA(Sheet19!$G:$G),-1)</definedName>
    <definedName name="Planned2">OFFSET(Sheet2!$G$2,0,0,COUNTA(Sheet2!$G:$G),-1)</definedName>
    <definedName name="Planned20">OFFSET(Sheet20!$G$2,0,0,COUNTA(Sheet20!$G:$G),-1)</definedName>
    <definedName name="Planned21">OFFSET(Sheet21!$G$2,0,0,COUNTA(Sheet21!$G:$G),-1)</definedName>
    <definedName name="Planned22">OFFSET(Sheet22!$G$2,0,0,COUNTA(Sheet22!$G:$G),-1)</definedName>
    <definedName name="Planned23">OFFSET(Sheet23!$G$2,0,0,COUNTA(Sheet23!$G:$G),-1)</definedName>
    <definedName name="Planned24">OFFSET(Sheet24!$G$2,0,0,COUNTA(Sheet24!$G:$G),-1)</definedName>
    <definedName name="Planned25">OFFSET(Sheet25!$G$2,0,0,COUNTA(Sheet25!$G:$G),-1)</definedName>
    <definedName name="Planned26">OFFSET(Sheet26!$G$2,0,0,COUNTA(Sheet26!$G:$G),-1)</definedName>
    <definedName name="Planned27">OFFSET(Sheet27!$G$2,0,0,COUNTA(Sheet27!$G:$G),-1)</definedName>
    <definedName name="Planned28">OFFSET(Sheet28!$G$2,0,0,COUNTA(Sheet28!$G:$G),-1)</definedName>
    <definedName name="Planned29">OFFSET(Sheet29!$G$2,0,0,COUNTA(Sheet29!$G:$G),-1)</definedName>
    <definedName name="Planned3">OFFSET(Sheet3!$G$2,0,0,COUNTA(Sheet3!$G:$G),-1)</definedName>
    <definedName name="Planned30">OFFSET(Sheet30!$G$2,0,0,COUNTA(Sheet30!$G:$G),-1)</definedName>
    <definedName name="Planned31">OFFSET(Sheet31!$G$2,0,0,COUNTA(Sheet31!$G:$G),-1)</definedName>
    <definedName name="Planned32">OFFSET(Sheet32!$G$2,0,0,COUNTA(Sheet32!$G:$G),-1)</definedName>
    <definedName name="Planned33">OFFSET(Sheet33!$G$2,0,0,COUNTA(Sheet33!$G:$G),-1)</definedName>
    <definedName name="Planned34">OFFSET(Sheet34!$G$2,0,0,COUNTA(Sheet34!$G:$G),-1)</definedName>
    <definedName name="Planned35">OFFSET(Sheet35!$G$2,0,0,COUNTA(Sheet35!$G:$G),-1)</definedName>
    <definedName name="Planned36">OFFSET(Sheet36!$G$2,0,0,COUNTA(Sheet36!$G:$G),-1)</definedName>
    <definedName name="Planned37">OFFSET(Sheet37!$G$2,0,0,COUNTA(Sheet37!$G:$G),-1)</definedName>
    <definedName name="Planned38">OFFSET(Sheet38!$G$2,0,0,COUNTA(Sheet38!$G:$G),-1)</definedName>
    <definedName name="Planned39">OFFSET(Sheet39!$G$2,0,0,COUNTA(Sheet39!$G:$G),-1)</definedName>
    <definedName name="Planned4">OFFSET(Sheet4!$G$2,0,0,COUNTA(Sheet4!$G:$G),-1)</definedName>
    <definedName name="Planned40">OFFSET(Sheet40!$G$2,0,0,COUNTA(Sheet40!$G:$G),-1)</definedName>
    <definedName name="Planned41">OFFSET(Sheet41!$G$2,0,0,COUNTA(Sheet41!$G:$G),-1)</definedName>
    <definedName name="Planned42">OFFSET(Sheet42!$G$2,0,0,COUNTA(Sheet42!$G:$G),-1)</definedName>
    <definedName name="Planned43">OFFSET(Sheet43!$G$2,0,0,COUNTA(Sheet43!$G:$G),-1)</definedName>
    <definedName name="Planned44">OFFSET(Sheet44!$G$2,0,0,COUNTA(Sheet44!$G:$G),-1)</definedName>
    <definedName name="Planned45">OFFSET(Sheet45!$G$2,0,0,COUNTA(Sheet45!$G:$G),-1)</definedName>
    <definedName name="Planned46">OFFSET(Sheet46!$G$2,0,0,COUNTA(Sheet46!$G:$G),-1)</definedName>
    <definedName name="Planned47">OFFSET(Sheet47!$G$2,0,0,COUNTA(Sheet47!$G:$G),-1)</definedName>
    <definedName name="Planned48">OFFSET(Sheet48!$G$2,0,0,COUNTA(Sheet48!$G:$G),-1)</definedName>
    <definedName name="Planned49">OFFSET(Sheet49!$G$2,0,0,COUNTA(Sheet49!$G:$G),-1)</definedName>
    <definedName name="Planned5">OFFSET(Sheet5!$G$2,0,0,COUNTA(Sheet5!$G:$G),-1)</definedName>
    <definedName name="Planned50">OFFSET(Sheet50!$G$2,0,0,COUNTA(Sheet50!$G:$G),-1)</definedName>
    <definedName name="Planned6">OFFSET(Sheet6!$G$2,0,0,COUNTA(Sheet6!$G:$G),-1)</definedName>
    <definedName name="Planned7">OFFSET(Sheet7!$G$2,0,0,COUNTA(Sheet7!$G:$G),-1)</definedName>
    <definedName name="Planned8">OFFSET(Sheet8!$G$2,0,0,COUNTA(Sheet8!$G:$G),-1)</definedName>
    <definedName name="Planned9">OFFSET(Sheet9!$G$2,0,0,COUNTA(Sheet9!$G:$G),-1)</definedName>
    <definedName name="PlannedM1">OFFSET(Sheet1!$F$2,0,0,COUNTA(Sheet1!$F:$F),-1)</definedName>
    <definedName name="PlannedM10">OFFSET(Sheet10!$F$2,0,0,COUNTA(Sheet10!$F:$F),-1)</definedName>
    <definedName name="PlannedM11">OFFSET(Sheet11!$F$2,0,0,COUNTA(Sheet11!$F:$F),-1)</definedName>
    <definedName name="PlannedM12">OFFSET(Sheet12!$F$2,0,0,COUNTA(Sheet12!$F:$F),-1)</definedName>
    <definedName name="PlannedM13">OFFSET(Sheet13!$F$2,0,0,COUNTA(Sheet13!$F:$F),-1)</definedName>
    <definedName name="PlannedM14">OFFSET(Sheet14!$F$2,0,0,COUNTA(Sheet14!$F:$F),-1)</definedName>
    <definedName name="PlannedM15">OFFSET(Sheet15!$F$2,0,0,COUNTA(Sheet15!$F:$F),-1)</definedName>
    <definedName name="PlannedM16">OFFSET(Sheet16!$F$2,0,0,COUNTA(Sheet16!$F:$F),-1)</definedName>
    <definedName name="PlannedM17">OFFSET(Sheet17!$F$2,0,0,COUNTA(Sheet17!$F:$F),-1)</definedName>
    <definedName name="PlannedM18">OFFSET(Sheet18!$F$2,0,0,COUNTA(Sheet18!$F:$F),-1)</definedName>
    <definedName name="PlannedM19">OFFSET(Sheet19!$F$2,0,0,COUNTA(Sheet19!$F:$F),-1)</definedName>
    <definedName name="PlannedM2">OFFSET(Sheet2!$F$2,0,0,COUNTA(Sheet2!$F:$F),-1)</definedName>
    <definedName name="PlannedM20">OFFSET(Sheet20!$F$2,0,0,COUNTA(Sheet20!$F:$F),-1)</definedName>
    <definedName name="PlannedM21">OFFSET(Sheet21!$F$2,0,0,COUNTA(Sheet21!$F:$F),-1)</definedName>
    <definedName name="PlannedM22">OFFSET(Sheet22!$F$2,0,0,COUNTA(Sheet22!$F:$F),-1)</definedName>
    <definedName name="PlannedM23">OFFSET(Sheet23!$F$2,0,0,COUNTA(Sheet23!$F:$F),-1)</definedName>
    <definedName name="PlannedM24">OFFSET(Sheet24!$F$2,0,0,COUNTA(Sheet24!$F:$F),-1)</definedName>
    <definedName name="PlannedM25">OFFSET(Sheet25!$F$2,0,0,COUNTA(Sheet25!$F:$F),-1)</definedName>
    <definedName name="PlannedM26">OFFSET(Sheet26!$F$2,0,0,COUNTA(Sheet26!$F:$F),-1)</definedName>
    <definedName name="PlannedM27">OFFSET(Sheet27!$F$2,0,0,COUNTA(Sheet27!$F:$F),-1)</definedName>
    <definedName name="PlannedM28">OFFSET(Sheet28!$F$2,0,0,COUNTA(Sheet28!$F:$F),-1)</definedName>
    <definedName name="PlannedM29">OFFSET(Sheet29!$F$2,0,0,COUNTA(Sheet29!$F:$F),-1)</definedName>
    <definedName name="PlannedM3">OFFSET(Sheet3!$F$2,0,0,COUNTA(Sheet3!$F:$F),-1)</definedName>
    <definedName name="PlannedM30">OFFSET(Sheet30!$F$2,0,0,COUNTA(Sheet30!$F:$F),-1)</definedName>
    <definedName name="PlannedM31">OFFSET(Sheet31!$F$2,0,0,COUNTA(Sheet31!$F:$F),-1)</definedName>
    <definedName name="PlannedM32">OFFSET(Sheet32!$F$2,0,0,COUNTA(Sheet32!$F:$F),-1)</definedName>
    <definedName name="PlannedM33">OFFSET(Sheet33!$F$2,0,0,COUNTA(Sheet33!$F:$F),-1)</definedName>
    <definedName name="PlannedM34">OFFSET(Sheet34!$F$2,0,0,COUNTA(Sheet34!$F:$F),-1)</definedName>
    <definedName name="PlannedM35">OFFSET(Sheet35!$F$2,0,0,COUNTA(Sheet35!$F:$F),-1)</definedName>
    <definedName name="PlannedM36">OFFSET(Sheet36!$F$2,0,0,COUNTA(Sheet36!$F:$F),-1)</definedName>
    <definedName name="PlannedM37">OFFSET(Sheet37!$F$2,0,0,COUNTA(Sheet37!$F:$F),-1)</definedName>
    <definedName name="PlannedM38">OFFSET(Sheet38!$F$2,0,0,COUNTA(Sheet38!$F:$F),-1)</definedName>
    <definedName name="PlannedM39">OFFSET(Sheet39!$F$2,0,0,COUNTA(Sheet39!$F:$F),-1)</definedName>
    <definedName name="PlannedM4">OFFSET(Sheet4!$F$2,0,0,COUNTA(Sheet4!$F:$F),-1)</definedName>
    <definedName name="PlannedM40">OFFSET(Sheet40!$F$2,0,0,COUNTA(Sheet40!$F:$F),-1)</definedName>
    <definedName name="PlannedM41">OFFSET(Sheet41!$F$2,0,0,COUNTA(Sheet41!$F:$F),-1)</definedName>
    <definedName name="PlannedM42">OFFSET(Sheet42!$F$2,0,0,COUNTA(Sheet42!$F:$F),-1)</definedName>
    <definedName name="PlannedM43">OFFSET(Sheet43!$F$2,0,0,COUNTA(Sheet43!$F:$F),-1)</definedName>
    <definedName name="PlannedM44">OFFSET(Sheet45!$F$2,0,0,COUNTA(Sheet45!$F:$F),-1)</definedName>
    <definedName name="PlannedM45">OFFSET(Sheet45!$F$2,0,0,COUNTA(Sheet45!$F:$F),-1)</definedName>
    <definedName name="PlannedM46">OFFSET(Sheet46!$F$2,0,0,COUNTA(Sheet46!$F:$F),-1)</definedName>
    <definedName name="PlannedM47">OFFSET(Sheet47!$F$2,0,0,COUNTA(Sheet47!$F:$F),-1)</definedName>
    <definedName name="PlannedM48">OFFSET(Sheet48!$F$2,0,0,COUNTA(Sheet48!$F:$F),-1)</definedName>
    <definedName name="PlannedM49">OFFSET(Sheet49!$F$2,0,0,COUNTA(Sheet49!$F:$F),-1)</definedName>
    <definedName name="PlannedM5">OFFSET(Sheet5!$F$2,0,0,COUNTA(Sheet5!$F:$F),-1)</definedName>
    <definedName name="PlannedM50">OFFSET(Sheet50!$F$2,0,0,COUNTA(Sheet50!$F:$F),-1)</definedName>
    <definedName name="PlannedM6">OFFSET(Sheet6!$F$2,0,0,COUNTA(Sheet6!$F:$F),-1)</definedName>
    <definedName name="PlannedM7">OFFSET(Sheet7!$F$2,0,0,COUNTA(Sheet7!$F:$F),-1)</definedName>
    <definedName name="PlannedM8">OFFSET(Sheet8!$F$2,0,0,COUNTA(Sheet8!$F:$F),-1)</definedName>
    <definedName name="PlannedM9">OFFSET(Sheet9!$F$2,0,0,COUNTA(Sheet9!$F:$F),-1)</definedName>
    <definedName name="PlannedP1">OFFSET(Sheet1!$E$2,0,0,COUNTA(Sheet1!$E:$E),-1)</definedName>
    <definedName name="PlannedP10">OFFSET(Sheet10!$E$2,0,0,COUNTA(Sheet10!$E:$E),-1)</definedName>
    <definedName name="PlannedP11">OFFSET(Sheet11!$E$2,0,0,COUNTA(Sheet11!$E:$E),-1)</definedName>
    <definedName name="PlannedP12">OFFSET(Sheet12!$E$2,0,0,COUNTA(Sheet12!$E:$E),-1)</definedName>
    <definedName name="PlannedP13">OFFSET(Sheet13!$E$2,0,0,COUNTA(Sheet13!$E:$E),-1)</definedName>
    <definedName name="PlannedP14">OFFSET(Sheet14!$E$2,0,0,COUNTA(Sheet14!$E:$E),-1)</definedName>
    <definedName name="PlannedP15">OFFSET(Sheet15!$E$2,0,0,COUNTA(Sheet15!$E:$E),-1)</definedName>
    <definedName name="PlannedP16">OFFSET(Sheet16!$E$2,0,0,COUNTA(Sheet16!$E:$E),-1)</definedName>
    <definedName name="PlannedP17">OFFSET(Sheet17!$E$2,0,0,COUNTA(Sheet17!$E:$E),-1)</definedName>
    <definedName name="PlannedP18">OFFSET(Sheet18!$E$2,0,0,COUNTA(Sheet18!$E:$E),-1)</definedName>
    <definedName name="PlannedP19">OFFSET(Sheet19!$E$2,0,0,COUNTA(Sheet19!$E:$E),-1)</definedName>
    <definedName name="PlannedP2">OFFSET(Sheet2!$E$2,0,0,COUNTA(Sheet2!$E:$E),-1)</definedName>
    <definedName name="PlannedP20">OFFSET(Sheet20!$E$2,0,0,COUNTA(Sheet20!$E:$E),-1)</definedName>
    <definedName name="PlannedP21">OFFSET(Sheet21!$E$2,0,0,COUNTA(Sheet21!$E:$E),-1)</definedName>
    <definedName name="PlannedP22">OFFSET(Sheet22!$E$2,0,0,COUNTA(Sheet22!$E:$E),-1)</definedName>
    <definedName name="PlannedP23">OFFSET(Sheet23!$E$2,0,0,COUNTA(Sheet23!$E:$E),-1)</definedName>
    <definedName name="PlannedP24">OFFSET(Sheet24!$E$2,0,0,COUNTA(Sheet24!$E:$E),-1)</definedName>
    <definedName name="PlannedP25">OFFSET(Sheet25!$E$2,0,0,COUNTA(Sheet25!$E:$E),-1)</definedName>
    <definedName name="PlannedP26">OFFSET(Sheet26!$E$2,0,0,COUNTA(Sheet26!$E:$E),-1)</definedName>
    <definedName name="PlannedP27">OFFSET(Sheet27!$E$2,0,0,COUNTA(Sheet27!$E:$E),-1)</definedName>
    <definedName name="PlannedP28">OFFSET(Sheet28!$E$2,0,0,COUNTA(Sheet28!$E:$E),-1)</definedName>
    <definedName name="PlannedP29">OFFSET(Sheet29!$E$2,0,0,COUNTA(Sheet29!$E:$E),-1)</definedName>
    <definedName name="PlannedP3">OFFSET(Sheet3!$E$2,0,0,COUNTA(Sheet3!$E:$E),-1)</definedName>
    <definedName name="PlannedP30">OFFSET(Sheet30!$E$2,0,0,COUNTA(Sheet30!$E:$E),-1)</definedName>
    <definedName name="PlannedP31">OFFSET(Sheet31!$E$2,0,0,COUNTA(Sheet31!$E:$E),-1)</definedName>
    <definedName name="PlannedP32">OFFSET(Sheet32!$E$2,0,0,COUNTA(Sheet32!$E:$E),-1)</definedName>
    <definedName name="PlannedP33">OFFSET(Sheet33!$E$2,0,0,COUNTA(Sheet33!$E:$E),-1)</definedName>
    <definedName name="PlannedP34">OFFSET(Sheet34!$E$2,0,0,COUNTA(Sheet34!$E:$E),-1)</definedName>
    <definedName name="PlannedP35">OFFSET(Sheet35!$E$2,0,0,COUNTA(Sheet35!$E:$E),-1)</definedName>
    <definedName name="PlannedP36">OFFSET(Sheet36!$E$2,0,0,COUNTA(Sheet36!$E:$E),-1)</definedName>
    <definedName name="PlannedP37">OFFSET(Sheet37!$E$2,0,0,COUNTA(Sheet37!$E:$E),-1)</definedName>
    <definedName name="PlannedP38">OFFSET(Sheet38!$E$2,0,0,COUNTA(Sheet38!$E:$E),-1)</definedName>
    <definedName name="PlannedP39">OFFSET(Sheet39!$E$2,0,0,COUNTA(Sheet39!$E:$E),-1)</definedName>
    <definedName name="PlannedP4">OFFSET(Sheet4!$E$2,0,0,COUNTA(Sheet4!$E:$E),-1)</definedName>
    <definedName name="PlannedP40">OFFSET(Sheet40!$E$2,0,0,COUNTA(Sheet40!$E:$E),-1)</definedName>
    <definedName name="PlannedP41">OFFSET(Sheet41!$E$2,0,0,COUNTA(Sheet41!$E:$E),-1)</definedName>
    <definedName name="PlannedP42">OFFSET(Sheet42!$E$2,0,0,COUNTA(Sheet42!$E:$E),-1)</definedName>
    <definedName name="PlannedP43">OFFSET(Sheet43!$E$2,0,0,COUNTA(Sheet43!$E:$E),-1)</definedName>
    <definedName name="PlannedP44">OFFSET(Sheet45!$E$2,0,0,COUNTA(Sheet45!$E:$E),-1)</definedName>
    <definedName name="PlannedP45">OFFSET(Sheet45!$E$2,0,0,COUNTA(Sheet45!$E:$E),-1)</definedName>
    <definedName name="PlannedP46">OFFSET(Sheet46!$E$2,0,0,COUNTA(Sheet46!$E:$E),-1)</definedName>
    <definedName name="PlannedP47">OFFSET(Sheet47!$E$2,0,0,COUNTA(Sheet47!$E:$E),-1)</definedName>
    <definedName name="PlannedP48">OFFSET(Sheet48!$E$2,0,0,COUNTA(Sheet48!$E:$E),-1)</definedName>
    <definedName name="PlannedP49">OFFSET(Sheet49!$E$2,0,0,COUNTA(Sheet49!$E:$E),-1)</definedName>
    <definedName name="PlannedP5">OFFSET(Sheet5!$E$2,0,0,COUNTA(Sheet5!$E:$E),-1)</definedName>
    <definedName name="PlannedP50">OFFSET(Sheet50!$E$2,0,0,COUNTA(Sheet50!$E:$E),-1)</definedName>
    <definedName name="PlannedP6">OFFSET(Sheet6!$E$2,0,0,COUNTA(Sheet6!$E:$E),-1)</definedName>
    <definedName name="PlannedP7">OFFSET(Sheet7!$E$2,0,0,COUNTA(Sheet7!$E:$E),-1)</definedName>
    <definedName name="PlannedP8">OFFSET(Sheet8!$E$2,0,0,COUNTA(Sheet8!$E:$E),-1)</definedName>
    <definedName name="PlannedP9">OFFSET(Sheet9!$E$2,0,0,COUNTA(Sheet9!$E:$E),-1)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_ * #,##0.00_ ;_ * \-#,##0.00_ ;_ * &quot;-&quot;??_ ;_ @_ 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6"/>
      <scheme val="minor"/>
    </font>
    <font>
      <name val="Calibri"/>
      <family val="2"/>
      <b val="1"/>
      <color theme="1"/>
      <sz val="12"/>
      <scheme val="minor"/>
    </font>
  </fonts>
  <fills count="34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0"/>
        <bgColor indexed="64"/>
      </patternFill>
    </fill>
  </fills>
  <borders count="5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3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7" fillId="12" borderId="0"/>
    <xf numFmtId="0" fontId="17" fillId="13" borderId="0"/>
    <xf numFmtId="0" fontId="1" fillId="14" borderId="0"/>
    <xf numFmtId="0" fontId="1" fillId="15" borderId="0"/>
    <xf numFmtId="0" fontId="17" fillId="16" borderId="0"/>
    <xf numFmtId="0" fontId="17" fillId="17" borderId="0"/>
    <xf numFmtId="0" fontId="1" fillId="18" borderId="0"/>
    <xf numFmtId="0" fontId="1" fillId="19" borderId="0"/>
    <xf numFmtId="0" fontId="17" fillId="20" borderId="0"/>
    <xf numFmtId="0" fontId="17" fillId="21" borderId="0"/>
    <xf numFmtId="0" fontId="1" fillId="22" borderId="0"/>
    <xf numFmtId="0" fontId="1" fillId="23" borderId="0"/>
    <xf numFmtId="0" fontId="17" fillId="24" borderId="0"/>
    <xf numFmtId="0" fontId="17" fillId="25" borderId="0"/>
    <xf numFmtId="0" fontId="1" fillId="26" borderId="0"/>
    <xf numFmtId="0" fontId="1" fillId="27" borderId="0"/>
    <xf numFmtId="0" fontId="17" fillId="28" borderId="0"/>
    <xf numFmtId="0" fontId="17" fillId="29" borderId="0"/>
    <xf numFmtId="0" fontId="1" fillId="30" borderId="0"/>
    <xf numFmtId="0" fontId="1" fillId="31" borderId="0"/>
    <xf numFmtId="0" fontId="17" fillId="32" borderId="0"/>
    <xf numFmtId="165" fontId="1" fillId="0" borderId="0"/>
  </cellStyleXfs>
  <cellXfs count="96">
    <xf numFmtId="0" fontId="0" fillId="0" borderId="0" pivotButton="0" quotePrefix="0" xfId="0"/>
    <xf numFmtId="2" fontId="0" fillId="0" borderId="10" pivotButton="0" quotePrefix="0" xfId="0"/>
    <xf numFmtId="0" fontId="16" fillId="0" borderId="0" pivotButton="0" quotePrefix="0" xfId="0"/>
    <xf numFmtId="2" fontId="0" fillId="0" borderId="0" pivotButton="0" quotePrefix="0" xfId="0"/>
    <xf numFmtId="164" fontId="0" fillId="0" borderId="10" applyAlignment="1" pivotButton="0" quotePrefix="0" xfId="0">
      <alignment horizontal="center"/>
    </xf>
    <xf numFmtId="2" fontId="16" fillId="0" borderId="0" pivotButton="0" quotePrefix="0" xfId="0"/>
    <xf numFmtId="1" fontId="16" fillId="0" borderId="0" pivotButton="0" quotePrefix="0" xfId="0"/>
    <xf numFmtId="1" fontId="16" fillId="0" borderId="11" pivotButton="0" quotePrefix="0" xfId="0"/>
    <xf numFmtId="1" fontId="0" fillId="0" borderId="0" pivotButton="0" quotePrefix="0" xfId="0"/>
    <xf numFmtId="0" fontId="18" fillId="0" borderId="16" pivotButton="0" quotePrefix="0" xfId="0"/>
    <xf numFmtId="0" fontId="18" fillId="0" borderId="17" pivotButton="0" quotePrefix="0" xfId="0"/>
    <xf numFmtId="0" fontId="18" fillId="0" borderId="18" pivotButton="0" quotePrefix="0" xfId="0"/>
    <xf numFmtId="164" fontId="0" fillId="0" borderId="21" applyAlignment="1" pivotButton="0" quotePrefix="0" xfId="0">
      <alignment horizontal="center"/>
    </xf>
    <xf numFmtId="2" fontId="0" fillId="0" borderId="21" pivotButton="0" quotePrefix="0" xfId="0"/>
    <xf numFmtId="1" fontId="19" fillId="0" borderId="16" pivotButton="0" quotePrefix="0" xfId="0"/>
    <xf numFmtId="1" fontId="19" fillId="0" borderId="17" pivotButton="0" quotePrefix="0" xfId="0"/>
    <xf numFmtId="0" fontId="16" fillId="0" borderId="29" pivotButton="0" quotePrefix="0" xfId="0"/>
    <xf numFmtId="0" fontId="0" fillId="0" borderId="29" pivotButton="0" quotePrefix="0" xfId="0"/>
    <xf numFmtId="2" fontId="0" fillId="0" borderId="20" pivotButton="0" quotePrefix="0" xfId="0"/>
    <xf numFmtId="0" fontId="0" fillId="0" borderId="31" pivotButton="0" quotePrefix="0" xfId="0"/>
    <xf numFmtId="2" fontId="0" fillId="0" borderId="32" pivotButton="0" quotePrefix="0" xfId="0"/>
    <xf numFmtId="2" fontId="0" fillId="0" borderId="33" pivotButton="0" quotePrefix="0" xfId="0"/>
    <xf numFmtId="2" fontId="16" fillId="0" borderId="22" applyAlignment="1" pivotButton="0" quotePrefix="0" xfId="0">
      <alignment horizontal="center"/>
    </xf>
    <xf numFmtId="2" fontId="16" fillId="0" borderId="24" applyAlignment="1" pivotButton="0" quotePrefix="0" xfId="0">
      <alignment horizontal="center"/>
    </xf>
    <xf numFmtId="2" fontId="16" fillId="0" borderId="26" applyAlignment="1" pivotButton="0" quotePrefix="0" xfId="0">
      <alignment horizontal="center"/>
    </xf>
    <xf numFmtId="2" fontId="16" fillId="0" borderId="27" applyAlignment="1" pivotButton="0" quotePrefix="0" xfId="0">
      <alignment horizontal="center"/>
    </xf>
    <xf numFmtId="2" fontId="16" fillId="0" borderId="34" applyAlignment="1" pivotButton="0" quotePrefix="0" xfId="0">
      <alignment horizontal="center"/>
    </xf>
    <xf numFmtId="2" fontId="16" fillId="0" borderId="36" applyAlignment="1" pivotButton="0" quotePrefix="0" xfId="0">
      <alignment horizontal="center"/>
    </xf>
    <xf numFmtId="2" fontId="16" fillId="0" borderId="35" applyAlignment="1" pivotButton="0" quotePrefix="0" xfId="0">
      <alignment horizontal="center"/>
    </xf>
    <xf numFmtId="164" fontId="0" fillId="0" borderId="19" applyAlignment="1" pivotButton="0" quotePrefix="0" xfId="0">
      <alignment horizontal="center"/>
    </xf>
    <xf numFmtId="164" fontId="0" fillId="0" borderId="28" applyAlignment="1" pivotButton="0" quotePrefix="0" xfId="0">
      <alignment horizontal="center"/>
    </xf>
    <xf numFmtId="1" fontId="16" fillId="0" borderId="39" pivotButton="0" quotePrefix="0" xfId="0"/>
    <xf numFmtId="1" fontId="0" fillId="0" borderId="45" pivotButton="0" quotePrefix="0" xfId="0"/>
    <xf numFmtId="164" fontId="0" fillId="0" borderId="46" applyAlignment="1" pivotButton="0" quotePrefix="0" xfId="0">
      <alignment horizontal="center"/>
    </xf>
    <xf numFmtId="164" fontId="0" fillId="0" borderId="52" applyAlignment="1" pivotButton="0" quotePrefix="0" xfId="0">
      <alignment horizontal="center"/>
    </xf>
    <xf numFmtId="2" fontId="0" fillId="0" borderId="52" pivotButton="0" quotePrefix="0" xfId="0"/>
    <xf numFmtId="2" fontId="0" fillId="0" borderId="47" pivotButton="0" quotePrefix="0" xfId="0"/>
    <xf numFmtId="1" fontId="16" fillId="0" borderId="29" applyAlignment="1" pivotButton="0" quotePrefix="0" xfId="0">
      <alignment horizontal="center" vertical="center"/>
    </xf>
    <xf numFmtId="0" fontId="16" fillId="0" borderId="43" applyAlignment="1" pivotButton="0" quotePrefix="0" xfId="0">
      <alignment horizontal="center" vertical="center"/>
    </xf>
    <xf numFmtId="0" fontId="16" fillId="0" borderId="53" applyAlignment="1" pivotButton="0" quotePrefix="0" xfId="0">
      <alignment horizontal="center" vertical="center"/>
    </xf>
    <xf numFmtId="0" fontId="16" fillId="0" borderId="41" applyAlignment="1" pivotButton="0" quotePrefix="0" xfId="0">
      <alignment horizontal="center" vertical="center"/>
    </xf>
    <xf numFmtId="0" fontId="16" fillId="0" borderId="44" applyAlignment="1" pivotButton="0" quotePrefix="0" xfId="0">
      <alignment horizontal="center" vertical="center"/>
    </xf>
    <xf numFmtId="0" fontId="16" fillId="0" borderId="40" applyAlignment="1" pivotButton="0" quotePrefix="0" xfId="0">
      <alignment horizontal="center" vertical="center"/>
    </xf>
    <xf numFmtId="2" fontId="0" fillId="0" borderId="48" pivotButton="0" quotePrefix="0" xfId="0"/>
    <xf numFmtId="2" fontId="0" fillId="0" borderId="14" pivotButton="0" quotePrefix="0" xfId="0"/>
    <xf numFmtId="2" fontId="0" fillId="0" borderId="46" pivotButton="0" quotePrefix="0" xfId="0"/>
    <xf numFmtId="2" fontId="0" fillId="0" borderId="19" pivotButton="0" quotePrefix="0" xfId="0"/>
    <xf numFmtId="2" fontId="0" fillId="0" borderId="37" pivotButton="0" quotePrefix="0" xfId="0"/>
    <xf numFmtId="2" fontId="0" fillId="0" borderId="16" pivotButton="0" quotePrefix="0" xfId="0"/>
    <xf numFmtId="2" fontId="0" fillId="0" borderId="17" pivotButton="0" quotePrefix="0" xfId="0"/>
    <xf numFmtId="2" fontId="0" fillId="0" borderId="18" pivotButton="0" quotePrefix="0" xfId="0"/>
    <xf numFmtId="0" fontId="16" fillId="0" borderId="29" applyAlignment="1" pivotButton="0" quotePrefix="0" xfId="0">
      <alignment horizontal="center" vertical="center" wrapText="1"/>
    </xf>
    <xf numFmtId="2" fontId="16" fillId="0" borderId="16" applyAlignment="1" pivotButton="0" quotePrefix="0" xfId="0">
      <alignment horizontal="center"/>
    </xf>
    <xf numFmtId="1" fontId="16" fillId="0" borderId="16" applyAlignment="1" pivotButton="0" quotePrefix="0" xfId="0">
      <alignment horizontal="center"/>
    </xf>
    <xf numFmtId="2" fontId="16" fillId="0" borderId="17" applyAlignment="1" pivotButton="0" quotePrefix="0" xfId="0">
      <alignment horizontal="center"/>
    </xf>
    <xf numFmtId="1" fontId="16" fillId="0" borderId="17" applyAlignment="1" pivotButton="0" quotePrefix="0" xfId="0">
      <alignment horizontal="center"/>
    </xf>
    <xf numFmtId="2" fontId="16" fillId="0" borderId="18" applyAlignment="1" pivotButton="0" quotePrefix="0" xfId="0">
      <alignment horizontal="center"/>
    </xf>
    <xf numFmtId="1" fontId="16" fillId="0" borderId="18" applyAlignment="1" pivotButton="0" quotePrefix="0" xfId="0">
      <alignment horizontal="center"/>
    </xf>
    <xf numFmtId="2" fontId="16" fillId="0" borderId="11" applyAlignment="1" pivotButton="0" quotePrefix="0" xfId="0">
      <alignment horizontal="center"/>
    </xf>
    <xf numFmtId="0" fontId="18" fillId="0" borderId="12" pivotButton="0" quotePrefix="0" xfId="0"/>
    <xf numFmtId="0" fontId="18" fillId="0" borderId="14" pivotButton="0" quotePrefix="0" xfId="0"/>
    <xf numFmtId="0" fontId="18" fillId="0" borderId="13" pivotButton="0" quotePrefix="0" xfId="0"/>
    <xf numFmtId="0" fontId="18" fillId="0" borderId="15" pivotButton="0" quotePrefix="0" xfId="0"/>
    <xf numFmtId="0" fontId="18" fillId="0" borderId="24" pivotButton="0" quotePrefix="0" xfId="0"/>
    <xf numFmtId="0" fontId="18" fillId="0" borderId="35" pivotButton="0" quotePrefix="0" xfId="0"/>
    <xf numFmtId="0" fontId="18" fillId="33" borderId="22" pivotButton="0" quotePrefix="0" xfId="0"/>
    <xf numFmtId="0" fontId="18" fillId="33" borderId="34" pivotButton="0" quotePrefix="0" xfId="0"/>
    <xf numFmtId="0" fontId="18" fillId="33" borderId="24" pivotButton="0" quotePrefix="0" xfId="0"/>
    <xf numFmtId="0" fontId="18" fillId="33" borderId="35" pivotButton="0" quotePrefix="0" xfId="0"/>
    <xf numFmtId="1" fontId="19" fillId="0" borderId="42" pivotButton="0" quotePrefix="0" xfId="0"/>
    <xf numFmtId="1" fontId="0" fillId="0" borderId="54" pivotButton="0" quotePrefix="0" xfId="0"/>
    <xf numFmtId="2" fontId="16" fillId="33" borderId="22" pivotButton="0" quotePrefix="0" xfId="0"/>
    <xf numFmtId="2" fontId="16" fillId="33" borderId="34" pivotButton="0" quotePrefix="0" xfId="0"/>
    <xf numFmtId="2" fontId="16" fillId="33" borderId="24" pivotButton="0" quotePrefix="0" xfId="0"/>
    <xf numFmtId="2" fontId="16" fillId="33" borderId="35" pivotButton="0" quotePrefix="0" xfId="0"/>
    <xf numFmtId="2" fontId="16" fillId="33" borderId="26" pivotButton="0" quotePrefix="0" xfId="0"/>
    <xf numFmtId="2" fontId="16" fillId="33" borderId="36" pivotButton="0" quotePrefix="0" xfId="0"/>
    <xf numFmtId="2" fontId="16" fillId="33" borderId="23" pivotButton="0" quotePrefix="0" xfId="0"/>
    <xf numFmtId="2" fontId="16" fillId="33" borderId="25" pivotButton="0" quotePrefix="0" xfId="0"/>
    <xf numFmtId="2" fontId="16" fillId="33" borderId="27" pivotButton="0" quotePrefix="0" xfId="0"/>
    <xf numFmtId="0" fontId="0" fillId="0" borderId="30" applyAlignment="1" pivotButton="0" quotePrefix="0" xfId="0">
      <alignment horizontal="center"/>
    </xf>
    <xf numFmtId="0" fontId="0" fillId="0" borderId="31" applyAlignment="1" pivotButton="0" quotePrefix="0" xfId="0">
      <alignment horizontal="center"/>
    </xf>
    <xf numFmtId="0" fontId="16" fillId="0" borderId="49" applyAlignment="1" pivotButton="0" quotePrefix="0" xfId="0">
      <alignment horizontal="center"/>
    </xf>
    <xf numFmtId="0" fontId="16" fillId="0" borderId="50" applyAlignment="1" pivotButton="0" quotePrefix="0" xfId="0">
      <alignment horizontal="center"/>
    </xf>
    <xf numFmtId="0" fontId="16" fillId="0" borderId="51" applyAlignment="1" pivotButton="0" quotePrefix="0" xfId="0">
      <alignment horizontal="center"/>
    </xf>
    <xf numFmtId="0" fontId="16" fillId="0" borderId="40" applyAlignment="1" pivotButton="0" quotePrefix="0" xfId="0">
      <alignment horizontal="center"/>
    </xf>
    <xf numFmtId="0" fontId="16" fillId="0" borderId="41" applyAlignment="1" pivotButton="0" quotePrefix="0" xfId="0">
      <alignment horizontal="center"/>
    </xf>
    <xf numFmtId="0" fontId="16" fillId="0" borderId="30" applyAlignment="1" pivotButton="0" quotePrefix="0" xfId="0">
      <alignment horizontal="center"/>
    </xf>
    <xf numFmtId="0" fontId="16" fillId="0" borderId="38" applyAlignment="1" pivotButton="0" quotePrefix="0" xfId="0">
      <alignment horizontal="center"/>
    </xf>
    <xf numFmtId="0" fontId="16" fillId="0" borderId="31" applyAlignment="1" pivotButton="0" quotePrefix="0" xfId="0">
      <alignment horizontal="center"/>
    </xf>
    <xf numFmtId="0" fontId="0" fillId="0" borderId="55" pivotButton="0" quotePrefix="0" xfId="0"/>
    <xf numFmtId="0" fontId="0" fillId="0" borderId="49" pivotButton="0" quotePrefix="0" xfId="0"/>
    <xf numFmtId="0" fontId="0" fillId="0" borderId="43" pivotButton="0" quotePrefix="0" xfId="0"/>
    <xf numFmtId="0" fontId="16" fillId="0" borderId="29" applyAlignment="1" pivotButton="0" quotePrefix="0" xfId="0">
      <alignment horizontal="center"/>
    </xf>
    <xf numFmtId="0" fontId="0" fillId="0" borderId="38" pivotButton="0" quotePrefix="0" xfId="0"/>
    <xf numFmtId="0" fontId="0" fillId="0" borderId="29" applyAlignment="1" pivotButton="0" quotePrefix="0" xfId="0">
      <alignment horizontal="center"/>
    </xf>
  </cellXfs>
  <cellStyles count="43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  <cellStyle name="Comma 2" xfId="4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ZA" sz="1800" b="1" i="0" baseline="0">
                <effectLst/>
              </a:rPr>
              <a:t>Variations In Diameter: Measured  Vs Planned</a:t>
            </a:r>
            <a:endParaRPr lang="en-ZA">
              <effectLst/>
            </a:endParaRP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06736479050796579"/>
          <y val="0.1270879052483176"/>
          <w val="0.9184370796205105"/>
          <h val="0.7014585710199742"/>
        </manualLayout>
      </layout>
      <lineChart>
        <grouping val="standard"/>
        <varyColors val="0"/>
        <ser>
          <idx val="0"/>
          <order val="0"/>
          <tx>
            <strRef>
              <f>Table!$B$2</f>
              <strCache>
                <ptCount val="1"/>
                <pt idx="0">
                  <v>Minimum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Table!$A$3:$A$52</f>
              <numCache>
                <formatCode>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cat>
          <val>
            <numRef>
              <f>Table!$B$3:$B$52</f>
              <numCache>
                <formatCode>0.0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val>
          <smooth val="1"/>
        </ser>
        <ser>
          <idx val="1"/>
          <order val="1"/>
          <tx>
            <strRef>
              <f>Table!$C$2</f>
              <strCache>
                <ptCount val="1"/>
                <pt idx="0">
                  <v>Average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Table!$A$3:$A$52</f>
              <numCache>
                <formatCode>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cat>
          <val>
            <numRef>
              <f>Table!$C$3:$C$52</f>
              <numCache>
                <formatCode>0.0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val>
          <smooth val="1"/>
        </ser>
        <ser>
          <idx val="2"/>
          <order val="2"/>
          <tx>
            <strRef>
              <f>Table!$D$2</f>
              <strCache>
                <ptCount val="1"/>
                <pt idx="0">
                  <v>Maximum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Table!$A$3:$A$52</f>
              <numCache>
                <formatCode>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cat>
          <val>
            <numRef>
              <f>Table!$D$3:$D$52</f>
              <numCache>
                <formatCode>0.0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val>
          <smooth val="1"/>
        </ser>
        <ser>
          <idx val="3"/>
          <order val="3"/>
          <tx>
            <strRef>
              <f>Table!$E$2</f>
              <strCache>
                <ptCount val="1"/>
                <pt idx="0">
                  <v xml:space="preserve"> Planned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Table!$A$3:$A$52</f>
              <numCache>
                <formatCode>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cat>
          <val>
            <numRef>
              <f>Table!$E$3:$E$52</f>
              <numCache>
                <formatCode>0.0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49540304"/>
        <axId val="249540696"/>
      </lineChart>
      <catAx>
        <axId val="24954030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Hole Nr</a:t>
                </a:r>
              </a:p>
            </rich>
          </tx>
          <overlay val="0"/>
        </title>
        <numFmt formatCode="0" sourceLinked="1"/>
        <majorTickMark val="out"/>
        <minorTickMark val="none"/>
        <tickLblPos val="nextTo"/>
        <crossAx val="249540696"/>
        <crosses val="autoZero"/>
        <auto val="1"/>
        <lblAlgn val="ctr"/>
        <lblOffset val="100"/>
        <noMultiLvlLbl val="0"/>
      </catAx>
      <valAx>
        <axId val="249540696"/>
        <scaling>
          <orientation val="minMax"/>
          <max val="300"/>
          <min val="100"/>
        </scaling>
        <delete val="0"/>
        <axPos val="l"/>
        <majorGridlines/>
        <title>
          <tx>
            <rich>
              <a:bodyPr xmlns:a="http://schemas.openxmlformats.org/drawingml/2006/main" rot="-5400000" vert="horz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ZA"/>
                  <a:t>Diameter (mm)</a:t>
                </a:r>
              </a:p>
            </rich>
          </tx>
          <overlay val="0"/>
        </title>
        <numFmt formatCode="0.0" sourceLinked="1"/>
        <majorTickMark val="out"/>
        <minorTickMark val="none"/>
        <tickLblPos val="nextTo"/>
        <crossAx val="249540304"/>
        <crosses val="autoZero"/>
        <crossBetween val="between"/>
      </valAx>
    </plotArea>
    <legend>
      <legendPos val="t"/>
      <overlay val="0"/>
    </legend>
    <plotVisOnly val="0"/>
    <dispBlanksAs val="span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ZA" sz="1800" b="1" i="0" baseline="0">
                <effectLst/>
              </a:rPr>
              <a:t>Variations In Explosives Charge: Measured Vs Planned</a:t>
            </a:r>
            <a:endParaRPr lang="en-ZA">
              <effectLst/>
            </a:endParaRP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Table!$H$2</f>
              <strCache>
                <ptCount val="1"/>
                <pt idx="0">
                  <v>Minimum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Table!$A$3:$A$52</f>
              <numCache>
                <formatCode>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cat>
          <val>
            <numRef>
              <f>Table!$H$3:$H$52</f>
              <numCache>
                <formatCode>0.00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val>
          <smooth val="1"/>
        </ser>
        <ser>
          <idx val="1"/>
          <order val="1"/>
          <tx>
            <strRef>
              <f>Table!$I$2</f>
              <strCache>
                <ptCount val="1"/>
                <pt idx="0">
                  <v>Average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Table!$A$3:$A$52</f>
              <numCache>
                <formatCode>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cat>
          <val>
            <numRef>
              <f>Table!$I$3:$I$52</f>
              <numCache>
                <formatCode>0.00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val>
          <smooth val="1"/>
        </ser>
        <ser>
          <idx val="2"/>
          <order val="2"/>
          <tx>
            <strRef>
              <f>Table!$J$2</f>
              <strCache>
                <ptCount val="1"/>
                <pt idx="0">
                  <v>Maximum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Table!$A$3:$A$52</f>
              <numCache>
                <formatCode>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cat>
          <val>
            <numRef>
              <f>Table!$J$3:$J$52</f>
              <numCache>
                <formatCode>0.00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val>
          <smooth val="1"/>
        </ser>
        <ser>
          <idx val="3"/>
          <order val="3"/>
          <tx>
            <strRef>
              <f>Table!$K$2</f>
              <strCache>
                <ptCount val="1"/>
                <pt idx="0">
                  <v>Planned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Table!$A$3:$A$52</f>
              <numCache>
                <formatCode>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cat>
          <val>
            <numRef>
              <f>Table!$K$3:$K$52</f>
              <numCache>
                <formatCode>0.00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49541480"/>
        <axId val="249541872"/>
      </lineChart>
      <catAx>
        <axId val="24954148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Hole Nr</a:t>
                </a:r>
              </a:p>
            </rich>
          </tx>
          <overlay val="0"/>
        </title>
        <numFmt formatCode="0" sourceLinked="1"/>
        <majorTickMark val="out"/>
        <minorTickMark val="none"/>
        <tickLblPos val="nextTo"/>
        <crossAx val="249541872"/>
        <crosses val="autoZero"/>
        <auto val="1"/>
        <lblAlgn val="ctr"/>
        <lblOffset val="100"/>
        <noMultiLvlLbl val="0"/>
      </catAx>
      <valAx>
        <axId val="249541872"/>
        <scaling>
          <orientation val="minMax"/>
          <min val="60"/>
        </scaling>
        <delete val="0"/>
        <axPos val="l"/>
        <majorGridlines/>
        <title>
          <tx>
            <rich>
              <a:bodyPr xmlns:a="http://schemas.openxmlformats.org/drawingml/2006/main" rot="-5400000" vert="horz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ZA"/>
                  <a:t>Explosives Mass (kg)</a:t>
                </a:r>
              </a:p>
            </rich>
          </tx>
          <overlay val="0"/>
        </title>
        <numFmt formatCode="0.00" sourceLinked="1"/>
        <majorTickMark val="out"/>
        <minorTickMark val="none"/>
        <tickLblPos val="nextTo"/>
        <crossAx val="249541480"/>
        <crosses val="autoZero"/>
        <crossBetween val="between"/>
      </valAx>
    </plotArea>
    <legend>
      <legendPos val="t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strRef>
          <f>Sheet2!$L$1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[0]!Actual2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[0]!Planned2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49543832"/>
        <axId val="249544224"/>
      </lineChart>
      <catAx>
        <axId val="24954383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49544224"/>
        <crosses val="autoZero"/>
        <auto val="1"/>
        <lblAlgn val="ctr"/>
        <lblOffset val="100"/>
        <tickLblSkip val="50"/>
        <tickMarkSkip val="50"/>
        <noMultiLvlLbl val="0"/>
      </catAx>
      <valAx>
        <axId val="249544224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49543832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strRef>
          <f>Sheet3!$L$1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[0]!Actual3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[0]!Planned3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347208"/>
        <axId val="371347600"/>
      </lineChart>
      <catAx>
        <axId val="371347208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47600"/>
        <crosses val="autoZero"/>
        <auto val="1"/>
        <lblAlgn val="ctr"/>
        <lblOffset val="100"/>
        <tickLblSkip val="50"/>
        <tickMarkSkip val="50"/>
        <noMultiLvlLbl val="0"/>
      </catAx>
      <valAx>
        <axId val="371347600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47208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strRef>
          <f>Sheet4!$L$1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[0]!Actual4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[0]!Planned4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348384"/>
        <axId val="371348776"/>
      </lineChart>
      <catAx>
        <axId val="371348384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48776"/>
        <crosses val="autoZero"/>
        <auto val="1"/>
        <lblAlgn val="ctr"/>
        <lblOffset val="100"/>
        <tickLblSkip val="50"/>
        <tickMarkSkip val="50"/>
        <noMultiLvlLbl val="0"/>
      </catAx>
      <valAx>
        <axId val="371348776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48384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strRef>
          <f>Sheet5!$L$1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[0]!Depth5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[0]!Actual5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[0]!Depth5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[0]!Planned5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349560"/>
        <axId val="371349952"/>
      </lineChart>
      <catAx>
        <axId val="371349560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49952"/>
        <crosses val="autoZero"/>
        <auto val="1"/>
        <lblAlgn val="ctr"/>
        <lblOffset val="100"/>
        <tickLblSkip val="50"/>
        <tickMarkSkip val="50"/>
        <noMultiLvlLbl val="0"/>
      </catAx>
      <valAx>
        <axId val="371349952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49560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strRef>
          <f>Sheet6!$L$1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[0]!Depth6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[0]!Actual6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[0]!Depth6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[0]!Planned6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350736"/>
        <axId val="371351128"/>
      </lineChart>
      <catAx>
        <axId val="37135073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51128"/>
        <crosses val="autoZero"/>
        <auto val="1"/>
        <lblAlgn val="ctr"/>
        <lblOffset val="100"/>
        <tickLblSkip val="50"/>
        <tickMarkSkip val="50"/>
        <noMultiLvlLbl val="0"/>
      </catAx>
      <valAx>
        <axId val="371351128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50736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strRef>
          <f>Sheet7!$L$1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[0]!Depth7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[0]!Actual7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[0]!Depth7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[0]!Planned7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351912"/>
        <axId val="371352304"/>
      </lineChart>
      <catAx>
        <axId val="37135191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52304"/>
        <crosses val="autoZero"/>
        <auto val="1"/>
        <lblAlgn val="ctr"/>
        <lblOffset val="100"/>
        <tickLblSkip val="50"/>
        <tickMarkSkip val="50"/>
        <noMultiLvlLbl val="0"/>
      </catAx>
      <valAx>
        <axId val="371352304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51912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strRef>
          <f>Sheet8!$L$1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[0]!Depth8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[0]!Actual8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[0]!Depth8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[0]!Planned8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353088"/>
        <axId val="371353480"/>
      </lineChart>
      <catAx>
        <axId val="371353088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53480"/>
        <crosses val="autoZero"/>
        <auto val="1"/>
        <lblAlgn val="ctr"/>
        <lblOffset val="100"/>
        <tickLblSkip val="50"/>
        <tickMarkSkip val="50"/>
        <noMultiLvlLbl val="0"/>
      </catAx>
      <valAx>
        <axId val="371353480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53088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strRef>
          <f>Sheet9!$L$1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[0]!Depth9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[0]!Actual9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[0]!Depth9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[0]!Planned9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354264"/>
        <axId val="371354656"/>
      </lineChart>
      <catAx>
        <axId val="371354264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54656"/>
        <crosses val="autoZero"/>
        <auto val="1"/>
        <lblAlgn val="ctr"/>
        <lblOffset val="100"/>
        <tickLblSkip val="50"/>
        <tickMarkSkip val="50"/>
        <noMultiLvlLbl val="0"/>
      </catAx>
      <valAx>
        <axId val="371354656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54264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strRef>
          <f>Sheet10!$L$1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[0]!Depth10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[0]!Actual10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[0]!Depth10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[0]!Planned10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796048"/>
        <axId val="371796440"/>
      </lineChart>
      <catAx>
        <axId val="371796048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796440"/>
        <crosses val="autoZero"/>
        <auto val="1"/>
        <lblAlgn val="ctr"/>
        <lblOffset val="100"/>
        <tickLblSkip val="50"/>
        <tickMarkSkip val="50"/>
        <noMultiLvlLbl val="0"/>
      </catAx>
      <valAx>
        <axId val="371796440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796048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strRef>
          <f>Sheet11!$L$1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[0]!Depth11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[0]!Actual11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[0]!Depth11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[0]!Planned11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797224"/>
        <axId val="371797616"/>
      </lineChart>
      <catAx>
        <axId val="371797224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797616"/>
        <crosses val="autoZero"/>
        <auto val="1"/>
        <lblAlgn val="ctr"/>
        <lblOffset val="100"/>
        <tickLblSkip val="50"/>
        <tickMarkSkip val="50"/>
        <noMultiLvlLbl val="0"/>
      </catAx>
      <valAx>
        <axId val="371797616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797224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strRef>
          <f>Sheet12!$L$1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[0]!Depth12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[0]!Actual12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[0]!Depth12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[0]!Planned12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798400"/>
        <axId val="371798792"/>
      </lineChart>
      <catAx>
        <axId val="371798400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798792"/>
        <crosses val="autoZero"/>
        <auto val="1"/>
        <lblAlgn val="ctr"/>
        <lblOffset val="100"/>
        <tickLblSkip val="50"/>
        <tickMarkSkip val="50"/>
        <noMultiLvlLbl val="0"/>
      </catAx>
      <valAx>
        <axId val="371798792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798400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strRef>
          <f>Sheet13!$L$1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[0]!Depth13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[0]!Actual13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[0]!Depth13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[0]!Planned13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215112"/>
        <axId val="371215504"/>
      </lineChart>
      <catAx>
        <axId val="37121511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15504"/>
        <crosses val="autoZero"/>
        <auto val="1"/>
        <lblAlgn val="ctr"/>
        <lblOffset val="100"/>
        <tickLblSkip val="50"/>
        <tickMarkSkip val="50"/>
        <noMultiLvlLbl val="0"/>
      </catAx>
      <valAx>
        <axId val="371215504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15112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strRef>
          <f>Sheet14!$L$1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[0]!Depth14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[0]!Actual14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[0]!Depth14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[0]!Planned14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216288"/>
        <axId val="371216680"/>
      </lineChart>
      <catAx>
        <axId val="371216288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16680"/>
        <crosses val="autoZero"/>
        <auto val="1"/>
        <lblAlgn val="ctr"/>
        <lblOffset val="100"/>
        <tickLblSkip val="50"/>
        <tickMarkSkip val="50"/>
        <noMultiLvlLbl val="0"/>
      </catAx>
      <valAx>
        <axId val="371216680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16288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strRef>
          <f>Sheet15!$L$1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[0]!Depth15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[0]!Actual15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[0]!Depth15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[0]!Planned15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217464"/>
        <axId val="371217856"/>
      </lineChart>
      <catAx>
        <axId val="371217464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17856"/>
        <crosses val="autoZero"/>
        <auto val="1"/>
        <lblAlgn val="ctr"/>
        <lblOffset val="100"/>
        <tickLblSkip val="50"/>
        <tickMarkSkip val="50"/>
        <noMultiLvlLbl val="0"/>
      </catAx>
      <valAx>
        <axId val="371217856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17464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strRef>
          <f>Sheet16!$L$1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[0]!Depth16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[0]!Actual16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[0]!Depth16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[0]!Planned16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218640"/>
        <axId val="371219032"/>
      </lineChart>
      <catAx>
        <axId val="371218640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19032"/>
        <crosses val="autoZero"/>
        <auto val="1"/>
        <lblAlgn val="ctr"/>
        <lblOffset val="100"/>
        <tickLblSkip val="50"/>
        <tickMarkSkip val="50"/>
        <noMultiLvlLbl val="0"/>
      </catAx>
      <valAx>
        <axId val="371219032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18640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strRef>
          <f>Sheet17!$L$1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[0]!Depth17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[0]!Actual17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[0]!Depth17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[0]!Planned17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219816"/>
        <axId val="371220208"/>
      </lineChart>
      <catAx>
        <axId val="37121981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20208"/>
        <crosses val="autoZero"/>
        <auto val="1"/>
        <lblAlgn val="ctr"/>
        <lblOffset val="100"/>
        <tickLblSkip val="50"/>
        <tickMarkSkip val="50"/>
        <noMultiLvlLbl val="0"/>
      </catAx>
      <valAx>
        <axId val="371220208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19816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strRef>
          <f>Sheet18!$L$1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[0]!Depth18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[0]!Actual18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[0]!Depth18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[0]!Planned18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220992"/>
        <axId val="371221384"/>
      </lineChart>
      <catAx>
        <axId val="3712209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21384"/>
        <crosses val="autoZero"/>
        <auto val="1"/>
        <lblAlgn val="ctr"/>
        <lblOffset val="100"/>
        <tickLblSkip val="50"/>
        <tickMarkSkip val="50"/>
        <noMultiLvlLbl val="0"/>
      </catAx>
      <valAx>
        <axId val="371221384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20992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strRef>
          <f>Sheet19!$L$1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[0]!Depth19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[0]!Actual19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[0]!Depth19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[0]!Planned19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222168"/>
        <axId val="371222560"/>
      </lineChart>
      <catAx>
        <axId val="371222168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22560"/>
        <crosses val="autoZero"/>
        <auto val="1"/>
        <lblAlgn val="ctr"/>
        <lblOffset val="100"/>
        <tickLblSkip val="50"/>
        <tickMarkSkip val="50"/>
        <noMultiLvlLbl val="0"/>
      </catAx>
      <valAx>
        <axId val="371222560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22168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strRef>
          <f>Sheet20!$L$1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[0]!Depth20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[0]!Actual20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[0]!Depth20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[0]!Planned20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567056"/>
        <axId val="371567448"/>
      </lineChart>
      <catAx>
        <axId val="37156705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567448"/>
        <crosses val="autoZero"/>
        <auto val="1"/>
        <lblAlgn val="ctr"/>
        <lblOffset val="100"/>
        <tickLblSkip val="50"/>
        <tickMarkSkip val="50"/>
        <noMultiLvlLbl val="0"/>
      </catAx>
      <valAx>
        <axId val="371567448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567056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strRef>
          <f>Sheet21!$L$1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[0]!Depth21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[0]!Actual21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[0]!Depth21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[0]!Planned21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567840"/>
        <axId val="371568232"/>
      </lineChart>
      <catAx>
        <axId val="371567840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568232"/>
        <crosses val="autoZero"/>
        <auto val="1"/>
        <lblAlgn val="ctr"/>
        <lblOffset val="100"/>
        <tickLblSkip val="50"/>
        <tickMarkSkip val="50"/>
        <noMultiLvlLbl val="0"/>
      </catAx>
      <valAx>
        <axId val="371568232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567840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strRef>
          <f>Sheet22!$L$1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[0]!Depth22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[0]!Actual22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[0]!Depth22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[0]!Planned22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569016"/>
        <axId val="371569408"/>
      </lineChart>
      <catAx>
        <axId val="37156901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569408"/>
        <crosses val="autoZero"/>
        <auto val="1"/>
        <lblAlgn val="ctr"/>
        <lblOffset val="100"/>
        <tickLblSkip val="50"/>
        <tickMarkSkip val="50"/>
        <noMultiLvlLbl val="0"/>
      </catAx>
      <valAx>
        <axId val="371569408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569016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4.xml><?xml version="1.0" encoding="utf-8"?>
<chartSpace xmlns="http://schemas.openxmlformats.org/drawingml/2006/chart">
  <chart>
    <title>
      <tx>
        <strRef>
          <f>Sheet23!$L$1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[0]!Depth23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[0]!Actual23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[0]!Depth23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[0]!Planned23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289280"/>
        <axId val="372289672"/>
      </lineChart>
      <catAx>
        <axId val="372289280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89672"/>
        <crosses val="autoZero"/>
        <auto val="1"/>
        <lblAlgn val="ctr"/>
        <lblOffset val="100"/>
        <tickLblSkip val="50"/>
        <tickMarkSkip val="50"/>
        <noMultiLvlLbl val="0"/>
      </catAx>
      <valAx>
        <axId val="372289672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89280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5.xml><?xml version="1.0" encoding="utf-8"?>
<chartSpace xmlns="http://schemas.openxmlformats.org/drawingml/2006/chart">
  <chart>
    <title>
      <tx>
        <strRef>
          <f>Sheet24!$L$1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[0]!Depth24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[0]!Actual24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[0]!Depth24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[0]!Planned24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290456"/>
        <axId val="372290848"/>
      </lineChart>
      <catAx>
        <axId val="37229045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90848"/>
        <crosses val="autoZero"/>
        <auto val="1"/>
        <lblAlgn val="ctr"/>
        <lblOffset val="100"/>
        <tickLblSkip val="50"/>
        <tickMarkSkip val="50"/>
        <noMultiLvlLbl val="0"/>
      </catAx>
      <valAx>
        <axId val="372290848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90456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6.xml><?xml version="1.0" encoding="utf-8"?>
<chartSpace xmlns="http://schemas.openxmlformats.org/drawingml/2006/chart">
  <chart>
    <title>
      <tx>
        <strRef>
          <f>Sheet25!$L$1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[0]!Depth25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[0]!Actual25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[0]!Depth25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[0]!Planned25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291632"/>
        <axId val="372292024"/>
      </lineChart>
      <catAx>
        <axId val="37229163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92024"/>
        <crosses val="autoZero"/>
        <auto val="1"/>
        <lblAlgn val="ctr"/>
        <lblOffset val="100"/>
        <tickLblSkip val="50"/>
        <tickMarkSkip val="50"/>
        <noMultiLvlLbl val="0"/>
      </catAx>
      <valAx>
        <axId val="372292024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91632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7.xml><?xml version="1.0" encoding="utf-8"?>
<chartSpace xmlns="http://schemas.openxmlformats.org/drawingml/2006/chart">
  <chart>
    <title>
      <tx>
        <strRef>
          <f>Sheet26!$L$1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[0]!Depth26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[0]!Actual26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[0]!Depth26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[0]!Planned26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292808"/>
        <axId val="372293200"/>
      </lineChart>
      <catAx>
        <axId val="372292808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93200"/>
        <crosses val="autoZero"/>
        <auto val="1"/>
        <lblAlgn val="ctr"/>
        <lblOffset val="100"/>
        <tickLblSkip val="50"/>
        <tickMarkSkip val="50"/>
        <noMultiLvlLbl val="0"/>
      </catAx>
      <valAx>
        <axId val="372293200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92808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8.xml><?xml version="1.0" encoding="utf-8"?>
<chartSpace xmlns="http://schemas.openxmlformats.org/drawingml/2006/chart">
  <chart>
    <title>
      <tx>
        <strRef>
          <f>Sheet27!$L$1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[0]!Depth27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[0]!Actual27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[0]!Depth27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[0]!Planned27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293984"/>
        <axId val="372294376"/>
      </lineChart>
      <catAx>
        <axId val="372293984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94376"/>
        <crosses val="autoZero"/>
        <auto val="1"/>
        <lblAlgn val="ctr"/>
        <lblOffset val="100"/>
        <tickLblSkip val="50"/>
        <tickMarkSkip val="50"/>
        <noMultiLvlLbl val="0"/>
      </catAx>
      <valAx>
        <axId val="372294376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93984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9.xml><?xml version="1.0" encoding="utf-8"?>
<chartSpace xmlns="http://schemas.openxmlformats.org/drawingml/2006/chart">
  <chart>
    <title>
      <tx>
        <strRef>
          <f>Sheet28!$L$1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[0]!Depth28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[0]!Actual28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[0]!Depth28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[0]!Planned28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295160"/>
        <axId val="372295552"/>
      </lineChart>
      <catAx>
        <axId val="372295160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95552"/>
        <crosses val="autoZero"/>
        <auto val="1"/>
        <lblAlgn val="ctr"/>
        <lblOffset val="100"/>
        <tickLblSkip val="50"/>
        <tickMarkSkip val="50"/>
        <noMultiLvlLbl val="0"/>
      </catAx>
      <valAx>
        <axId val="372295552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95160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0.xml><?xml version="1.0" encoding="utf-8"?>
<chartSpace xmlns="http://schemas.openxmlformats.org/drawingml/2006/chart">
  <chart>
    <title>
      <tx>
        <strRef>
          <f>Sheet29!$L$1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[0]!Depth29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[0]!Actual29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[0]!Depth29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[0]!Planned29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296336"/>
        <axId val="372296728"/>
      </lineChart>
      <catAx>
        <axId val="37229633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96728"/>
        <crosses val="autoZero"/>
        <auto val="1"/>
        <lblAlgn val="ctr"/>
        <lblOffset val="100"/>
        <tickLblSkip val="50"/>
        <tickMarkSkip val="50"/>
        <noMultiLvlLbl val="0"/>
      </catAx>
      <valAx>
        <axId val="372296728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96336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1.xml><?xml version="1.0" encoding="utf-8"?>
<chartSpace xmlns="http://schemas.openxmlformats.org/drawingml/2006/chart">
  <chart>
    <title>
      <tx>
        <strRef>
          <f>Sheet30!$L$1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[0]!Depth30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[0]!Actual30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[0]!Depth30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[0]!Planned30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47728"/>
        <axId val="372548120"/>
      </lineChart>
      <catAx>
        <axId val="372547728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48120"/>
        <crosses val="autoZero"/>
        <auto val="1"/>
        <lblAlgn val="ctr"/>
        <lblOffset val="100"/>
        <tickLblSkip val="50"/>
        <tickMarkSkip val="50"/>
        <noMultiLvlLbl val="0"/>
      </catAx>
      <valAx>
        <axId val="372548120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47728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2.xml><?xml version="1.0" encoding="utf-8"?>
<chartSpace xmlns="http://schemas.openxmlformats.org/drawingml/2006/chart">
  <chart>
    <title>
      <tx>
        <strRef>
          <f>Sheet31!$L$1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[0]!Depth31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[0]!Actual31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[0]!Depth31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[0]!Planned31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48904"/>
        <axId val="372549296"/>
      </lineChart>
      <catAx>
        <axId val="372548904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49296"/>
        <crosses val="autoZero"/>
        <auto val="1"/>
        <lblAlgn val="ctr"/>
        <lblOffset val="100"/>
        <tickLblSkip val="50"/>
        <tickMarkSkip val="50"/>
        <noMultiLvlLbl val="0"/>
      </catAx>
      <valAx>
        <axId val="372549296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48904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3.xml><?xml version="1.0" encoding="utf-8"?>
<chartSpace xmlns="http://schemas.openxmlformats.org/drawingml/2006/chart">
  <chart>
    <title>
      <tx>
        <strRef>
          <f>Sheet32!$L$1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[0]!Depth32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[0]!Actual32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[0]!Depth32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[0]!Planned32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50080"/>
        <axId val="372550472"/>
      </lineChart>
      <catAx>
        <axId val="372550080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0472"/>
        <crosses val="autoZero"/>
        <auto val="1"/>
        <lblAlgn val="ctr"/>
        <lblOffset val="100"/>
        <tickLblSkip val="50"/>
        <tickMarkSkip val="50"/>
        <noMultiLvlLbl val="0"/>
      </catAx>
      <valAx>
        <axId val="372550472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0080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4.xml><?xml version="1.0" encoding="utf-8"?>
<chartSpace xmlns="http://schemas.openxmlformats.org/drawingml/2006/chart">
  <chart>
    <title>
      <tx>
        <strRef>
          <f>Sheet33!$L$1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[0]!Depth33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[0]!Actual33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[0]!Depth33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[0]!Planned33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51256"/>
        <axId val="372551648"/>
      </lineChart>
      <catAx>
        <axId val="37255125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1648"/>
        <crosses val="autoZero"/>
        <auto val="1"/>
        <lblAlgn val="ctr"/>
        <lblOffset val="100"/>
        <tickLblSkip val="50"/>
        <tickMarkSkip val="50"/>
        <noMultiLvlLbl val="0"/>
      </catAx>
      <valAx>
        <axId val="372551648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1256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5.xml><?xml version="1.0" encoding="utf-8"?>
<chartSpace xmlns="http://schemas.openxmlformats.org/drawingml/2006/chart">
  <chart>
    <title>
      <tx>
        <strRef>
          <f>Sheet34!$L$1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[0]!Depth34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[0]!Actual34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[0]!Depth34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[0]!Planned34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52432"/>
        <axId val="372552824"/>
      </lineChart>
      <catAx>
        <axId val="37255243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2824"/>
        <crosses val="autoZero"/>
        <auto val="1"/>
        <lblAlgn val="ctr"/>
        <lblOffset val="100"/>
        <tickLblSkip val="50"/>
        <tickMarkSkip val="50"/>
        <noMultiLvlLbl val="0"/>
      </catAx>
      <valAx>
        <axId val="372552824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2432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6.xml><?xml version="1.0" encoding="utf-8"?>
<chartSpace xmlns="http://schemas.openxmlformats.org/drawingml/2006/chart">
  <chart>
    <title>
      <tx>
        <strRef>
          <f>Sheet35!$L$1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[0]!Depth35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[0]!Actual35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[0]!Depth35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[0]!Planned35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53608"/>
        <axId val="372554000"/>
      </lineChart>
      <catAx>
        <axId val="372553608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4000"/>
        <crosses val="autoZero"/>
        <auto val="1"/>
        <lblAlgn val="ctr"/>
        <lblOffset val="100"/>
        <tickLblSkip val="50"/>
        <tickMarkSkip val="50"/>
        <noMultiLvlLbl val="0"/>
      </catAx>
      <valAx>
        <axId val="372554000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3608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7.xml><?xml version="1.0" encoding="utf-8"?>
<chartSpace xmlns="http://schemas.openxmlformats.org/drawingml/2006/chart">
  <chart>
    <title>
      <tx>
        <strRef>
          <f>Sheet36!$L$1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[0]!Depth36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[0]!Actual36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[0]!Depth36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[0]!Planned36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54784"/>
        <axId val="372555176"/>
      </lineChart>
      <catAx>
        <axId val="372554784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5176"/>
        <crosses val="autoZero"/>
        <auto val="1"/>
        <lblAlgn val="ctr"/>
        <lblOffset val="100"/>
        <tickLblSkip val="50"/>
        <tickMarkSkip val="50"/>
        <noMultiLvlLbl val="0"/>
      </catAx>
      <valAx>
        <axId val="372555176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4784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8.xml><?xml version="1.0" encoding="utf-8"?>
<chartSpace xmlns="http://schemas.openxmlformats.org/drawingml/2006/chart">
  <chart>
    <title>
      <tx>
        <strRef>
          <f>Sheet37!$L$1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[0]!Depth37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[0]!Actual37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[0]!Depth37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[0]!Planned37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55960"/>
        <axId val="372556352"/>
      </lineChart>
      <catAx>
        <axId val="372555960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6352"/>
        <crosses val="autoZero"/>
        <auto val="1"/>
        <lblAlgn val="ctr"/>
        <lblOffset val="100"/>
        <tickLblSkip val="50"/>
        <tickMarkSkip val="50"/>
        <noMultiLvlLbl val="0"/>
      </catAx>
      <valAx>
        <axId val="372556352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5960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9.xml><?xml version="1.0" encoding="utf-8"?>
<chartSpace xmlns="http://schemas.openxmlformats.org/drawingml/2006/chart">
  <chart>
    <title>
      <tx>
        <strRef>
          <f>Sheet38!$L$1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[0]!Depth38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[0]!Actual38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[0]!Depth38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[0]!Planned38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57136"/>
        <axId val="372557528"/>
      </lineChart>
      <catAx>
        <axId val="37255713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7528"/>
        <crosses val="autoZero"/>
        <auto val="1"/>
        <lblAlgn val="ctr"/>
        <lblOffset val="100"/>
        <tickLblSkip val="50"/>
        <tickMarkSkip val="50"/>
        <noMultiLvlLbl val="0"/>
      </catAx>
      <valAx>
        <axId val="372557528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7136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0.xml><?xml version="1.0" encoding="utf-8"?>
<chartSpace xmlns="http://schemas.openxmlformats.org/drawingml/2006/chart">
  <chart>
    <title>
      <tx>
        <strRef>
          <f>Sheet39!$L$1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[0]!Depth39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[0]!Actual39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[0]!Depth39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[0]!Planned39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58312"/>
        <axId val="372558704"/>
      </lineChart>
      <catAx>
        <axId val="37255831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8704"/>
        <crosses val="autoZero"/>
        <auto val="1"/>
        <lblAlgn val="ctr"/>
        <lblOffset val="100"/>
        <tickLblSkip val="50"/>
        <tickMarkSkip val="50"/>
        <noMultiLvlLbl val="0"/>
      </catAx>
      <valAx>
        <axId val="372558704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8312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1.xml><?xml version="1.0" encoding="utf-8"?>
<chartSpace xmlns="http://schemas.openxmlformats.org/drawingml/2006/chart">
  <chart>
    <title>
      <tx>
        <strRef>
          <f>Sheet40!$L$1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[0]!Depth40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[0]!Actual40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[0]!Depth40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[0]!Planned40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59488"/>
        <axId val="372559880"/>
      </lineChart>
      <catAx>
        <axId val="372559488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9880"/>
        <crosses val="autoZero"/>
        <auto val="1"/>
        <lblAlgn val="ctr"/>
        <lblOffset val="100"/>
        <tickLblSkip val="50"/>
        <tickMarkSkip val="50"/>
        <noMultiLvlLbl val="0"/>
      </catAx>
      <valAx>
        <axId val="372559880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9488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2.xml><?xml version="1.0" encoding="utf-8"?>
<chartSpace xmlns="http://schemas.openxmlformats.org/drawingml/2006/chart">
  <chart>
    <title>
      <tx>
        <strRef>
          <f>Sheet41!$L$1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[0]!Depth41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[0]!Actual41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[0]!Depth41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[0]!Planned41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60664"/>
        <axId val="372561056"/>
      </lineChart>
      <catAx>
        <axId val="372560664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61056"/>
        <crosses val="autoZero"/>
        <auto val="1"/>
        <lblAlgn val="ctr"/>
        <lblOffset val="100"/>
        <tickLblSkip val="50"/>
        <tickMarkSkip val="50"/>
        <noMultiLvlLbl val="0"/>
      </catAx>
      <valAx>
        <axId val="372561056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60664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3.xml><?xml version="1.0" encoding="utf-8"?>
<chartSpace xmlns="http://schemas.openxmlformats.org/drawingml/2006/chart">
  <chart>
    <title>
      <tx>
        <strRef>
          <f>Sheet42!$L$1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[0]!Depth42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[0]!Actual42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[0]!Depth42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[0]!Planned42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61840"/>
        <axId val="372562232"/>
      </lineChart>
      <catAx>
        <axId val="372561840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62232"/>
        <crosses val="autoZero"/>
        <auto val="1"/>
        <lblAlgn val="ctr"/>
        <lblOffset val="100"/>
        <tickLblSkip val="50"/>
        <tickMarkSkip val="50"/>
        <noMultiLvlLbl val="0"/>
      </catAx>
      <valAx>
        <axId val="372562232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61840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4.xml><?xml version="1.0" encoding="utf-8"?>
<chartSpace xmlns="http://schemas.openxmlformats.org/drawingml/2006/chart">
  <chart>
    <title>
      <tx>
        <strRef>
          <f>Sheet43!$L$1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[0]!Depth43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[0]!Actual43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[0]!Depth43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[0]!Planned43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63016"/>
        <axId val="373377784"/>
      </lineChart>
      <catAx>
        <axId val="37256301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77784"/>
        <crosses val="autoZero"/>
        <auto val="1"/>
        <lblAlgn val="ctr"/>
        <lblOffset val="100"/>
        <tickLblSkip val="50"/>
        <tickMarkSkip val="50"/>
        <noMultiLvlLbl val="0"/>
      </catAx>
      <valAx>
        <axId val="373377784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63016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5.xml><?xml version="1.0" encoding="utf-8"?>
<chartSpace xmlns="http://schemas.openxmlformats.org/drawingml/2006/chart">
  <chart>
    <title>
      <tx>
        <strRef>
          <f>Sheet44!$L$1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[0]!Depth44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[0]!Actual44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[0]!Depth44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[0]!Planned44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3378568"/>
        <axId val="373378960"/>
      </lineChart>
      <catAx>
        <axId val="373378568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78960"/>
        <crosses val="autoZero"/>
        <auto val="1"/>
        <lblAlgn val="ctr"/>
        <lblOffset val="100"/>
        <tickLblSkip val="50"/>
        <tickMarkSkip val="50"/>
        <noMultiLvlLbl val="0"/>
      </catAx>
      <valAx>
        <axId val="373378960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78568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6.xml><?xml version="1.0" encoding="utf-8"?>
<chartSpace xmlns="http://schemas.openxmlformats.org/drawingml/2006/chart">
  <chart>
    <title>
      <tx>
        <strRef>
          <f>Sheet45!$L$1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[0]!Depth45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[0]!Actual45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[0]!Depth45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[0]!Planned45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3379744"/>
        <axId val="373380136"/>
      </lineChart>
      <catAx>
        <axId val="373379744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80136"/>
        <crosses val="autoZero"/>
        <auto val="1"/>
        <lblAlgn val="ctr"/>
        <lblOffset val="100"/>
        <tickLblSkip val="50"/>
        <tickMarkSkip val="50"/>
        <noMultiLvlLbl val="0"/>
      </catAx>
      <valAx>
        <axId val="373380136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79744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7.xml><?xml version="1.0" encoding="utf-8"?>
<chartSpace xmlns="http://schemas.openxmlformats.org/drawingml/2006/chart">
  <chart>
    <title>
      <tx>
        <strRef>
          <f>Sheet46!$L$1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[0]!Depth46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[0]!Actual46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[0]!Depth46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[0]!Planned46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3380920"/>
        <axId val="373381312"/>
      </lineChart>
      <catAx>
        <axId val="373380920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81312"/>
        <crosses val="autoZero"/>
        <auto val="1"/>
        <lblAlgn val="ctr"/>
        <lblOffset val="100"/>
        <tickLblSkip val="50"/>
        <tickMarkSkip val="50"/>
        <noMultiLvlLbl val="0"/>
      </catAx>
      <valAx>
        <axId val="373381312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80920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8.xml><?xml version="1.0" encoding="utf-8"?>
<chartSpace xmlns="http://schemas.openxmlformats.org/drawingml/2006/chart">
  <chart>
    <title>
      <tx>
        <strRef>
          <f>Sheet47!$L$1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[0]!Depth47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[0]!Actual47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[0]!Depth47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[0]!Planned47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3382096"/>
        <axId val="373382488"/>
      </lineChart>
      <catAx>
        <axId val="37338209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82488"/>
        <crosses val="autoZero"/>
        <auto val="1"/>
        <lblAlgn val="ctr"/>
        <lblOffset val="100"/>
        <tickLblSkip val="50"/>
        <tickMarkSkip val="50"/>
        <noMultiLvlLbl val="0"/>
      </catAx>
      <valAx>
        <axId val="373382488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82096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9.xml><?xml version="1.0" encoding="utf-8"?>
<chartSpace xmlns="http://schemas.openxmlformats.org/drawingml/2006/chart">
  <chart>
    <title>
      <tx>
        <strRef>
          <f>Sheet48!$L$1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[0]!Depth48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[0]!Actual48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[0]!Depth48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[0]!Planned48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3383272"/>
        <axId val="373383664"/>
      </lineChart>
      <catAx>
        <axId val="37338327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83664"/>
        <crosses val="autoZero"/>
        <auto val="1"/>
        <lblAlgn val="ctr"/>
        <lblOffset val="100"/>
        <tickLblSkip val="50"/>
        <tickMarkSkip val="50"/>
        <noMultiLvlLbl val="0"/>
      </catAx>
      <valAx>
        <axId val="373383664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83272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0.xml><?xml version="1.0" encoding="utf-8"?>
<chartSpace xmlns="http://schemas.openxmlformats.org/drawingml/2006/chart">
  <chart>
    <title>
      <tx>
        <strRef>
          <f>Sheet49!$L$1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[0]!Depth49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[0]!Actual49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[0]!Depth49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[0]!Planned49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3384448"/>
        <axId val="373384840"/>
      </lineChart>
      <catAx>
        <axId val="373384448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84840"/>
        <crosses val="autoZero"/>
        <auto val="1"/>
        <lblAlgn val="ctr"/>
        <lblOffset val="100"/>
        <tickLblSkip val="50"/>
        <tickMarkSkip val="50"/>
        <noMultiLvlLbl val="0"/>
      </catAx>
      <valAx>
        <axId val="373384840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84448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1.xml><?xml version="1.0" encoding="utf-8"?>
<chartSpace xmlns="http://schemas.openxmlformats.org/drawingml/2006/chart">
  <chart>
    <title>
      <tx>
        <strRef>
          <f>Sheet50!$L$1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[0]!Depth50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[0]!Actual50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[0]!Depth50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[0]!Planned50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3385624"/>
        <axId val="373386016"/>
      </lineChart>
      <catAx>
        <axId val="373385624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86016"/>
        <crosses val="autoZero"/>
        <auto val="1"/>
        <lblAlgn val="ctr"/>
        <lblOffset val="100"/>
        <tickLblSkip val="50"/>
        <tickMarkSkip val="50"/>
        <noMultiLvlLbl val="0"/>
      </catAx>
      <valAx>
        <axId val="373386016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85624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2.xml><?xml version="1.0" encoding="utf-8"?>
<chartSpace xmlns="http://schemas.openxmlformats.org/drawingml/2006/chart">
  <chart>
    <title>
      <tx>
        <strRef>
          <f>Sheet1!$L$1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[0]!Actual1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[0]!Planned1</f>
              <numCache>
                <formatCode>0.00</formatCode>
                <ptCount val="2"/>
                <pt idx="0">
                  <formatCode>0</formatCode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49542656"/>
        <axId val="249543048"/>
      </lineChart>
      <catAx>
        <axId val="24954265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49543048"/>
        <crosses val="autoZero"/>
        <auto val="1"/>
        <lblAlgn val="ctr"/>
        <lblOffset val="100"/>
        <tickLblSkip val="50"/>
        <tickMarkSkip val="50"/>
        <noMultiLvlLbl val="0"/>
      </catAx>
      <valAx>
        <axId val="249543048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49542656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3.xml><?xml version="1.0" encoding="utf-8"?>
<chartSpace xmlns="http://schemas.openxmlformats.org/drawingml/2006/chart">
  <chart>
    <title>
      <tx>
        <strRef>
          <f>Sheet1!$L$1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3386800"/>
        <axId val="373387192"/>
      </scatterChart>
      <valAx>
        <axId val="373386800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3387192"/>
        <crosses val="autoZero"/>
        <crossBetween val="midCat"/>
        <majorUnit val="100"/>
        <minorUnit val="50"/>
      </valAx>
      <valAx>
        <axId val="373387192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3386800"/>
        <crosses val="max"/>
        <crossBetween val="midCat"/>
      </valAx>
    </plotArea>
    <plotVisOnly val="1"/>
    <dispBlanksAs val="gap"/>
  </chart>
</chartSpace>
</file>

<file path=xl/charts/chart54.xml><?xml version="1.0" encoding="utf-8"?>
<chartSpace xmlns="http://schemas.openxmlformats.org/drawingml/2006/chart">
  <chart>
    <title>
      <tx>
        <strRef>
          <f>Sheet2!$L$1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3387976"/>
        <axId val="373388368"/>
      </scatterChart>
      <valAx>
        <axId val="373387976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3388368"/>
        <crosses val="autoZero"/>
        <crossBetween val="midCat"/>
        <majorUnit val="100"/>
        <minorUnit val="50"/>
      </valAx>
      <valAx>
        <axId val="373388368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3387976"/>
        <crosses val="max"/>
        <crossBetween val="midCat"/>
      </valAx>
    </plotArea>
    <plotVisOnly val="1"/>
    <dispBlanksAs val="gap"/>
  </chart>
</chartSpace>
</file>

<file path=xl/charts/chart55.xml><?xml version="1.0" encoding="utf-8"?>
<chartSpace xmlns="http://schemas.openxmlformats.org/drawingml/2006/chart">
  <chart>
    <title>
      <tx>
        <strRef>
          <f>Sheet3!$L$1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3389152"/>
        <axId val="373389544"/>
      </scatterChart>
      <valAx>
        <axId val="373389152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3389544"/>
        <crosses val="autoZero"/>
        <crossBetween val="midCat"/>
        <majorUnit val="100"/>
        <minorUnit val="50"/>
      </valAx>
      <valAx>
        <axId val="373389544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3389152"/>
        <crosses val="max"/>
        <crossBetween val="midCat"/>
      </valAx>
    </plotArea>
    <plotVisOnly val="1"/>
    <dispBlanksAs val="gap"/>
  </chart>
</chartSpace>
</file>

<file path=xl/charts/chart56.xml><?xml version="1.0" encoding="utf-8"?>
<chartSpace xmlns="http://schemas.openxmlformats.org/drawingml/2006/chart">
  <chart>
    <title>
      <tx>
        <strRef>
          <f>Sheet4!$L$1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3390328"/>
        <axId val="373390720"/>
      </scatterChart>
      <valAx>
        <axId val="373390328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3390720"/>
        <crosses val="autoZero"/>
        <crossBetween val="midCat"/>
        <majorUnit val="100"/>
        <minorUnit val="50"/>
      </valAx>
      <valAx>
        <axId val="373390720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3390328"/>
        <crosses val="max"/>
        <crossBetween val="midCat"/>
      </valAx>
    </plotArea>
    <plotVisOnly val="1"/>
    <dispBlanksAs val="gap"/>
  </chart>
</chartSpace>
</file>

<file path=xl/charts/chart57.xml><?xml version="1.0" encoding="utf-8"?>
<chartSpace xmlns="http://schemas.openxmlformats.org/drawingml/2006/chart">
  <chart>
    <title>
      <tx>
        <strRef>
          <f>Sheet5!$L$1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3391504"/>
        <axId val="373391896"/>
      </scatterChart>
      <valAx>
        <axId val="373391504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3391896"/>
        <crosses val="autoZero"/>
        <crossBetween val="midCat"/>
        <majorUnit val="100"/>
        <minorUnit val="50"/>
      </valAx>
      <valAx>
        <axId val="373391896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3391504"/>
        <crosses val="max"/>
        <crossBetween val="midCat"/>
      </valAx>
    </plotArea>
    <plotVisOnly val="1"/>
    <dispBlanksAs val="gap"/>
  </chart>
</chartSpace>
</file>

<file path=xl/charts/chart58.xml><?xml version="1.0" encoding="utf-8"?>
<chartSpace xmlns="http://schemas.openxmlformats.org/drawingml/2006/chart">
  <chart>
    <title>
      <tx>
        <strRef>
          <f>Sheet6!$L$1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3392680"/>
        <axId val="373393072"/>
      </scatterChart>
      <valAx>
        <axId val="373392680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3393072"/>
        <crosses val="autoZero"/>
        <crossBetween val="midCat"/>
        <majorUnit val="100"/>
        <minorUnit val="50"/>
      </valAx>
      <valAx>
        <axId val="373393072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3392680"/>
        <crosses val="max"/>
        <crossBetween val="midCat"/>
      </valAx>
    </plotArea>
    <plotVisOnly val="1"/>
    <dispBlanksAs val="gap"/>
  </chart>
</chartSpace>
</file>

<file path=xl/charts/chart59.xml><?xml version="1.0" encoding="utf-8"?>
<chartSpace xmlns="http://schemas.openxmlformats.org/drawingml/2006/chart">
  <chart>
    <title>
      <tx>
        <strRef>
          <f>Sheet7!$L$1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22952"/>
        <axId val="374823344"/>
      </scatterChart>
      <valAx>
        <axId val="374822952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23344"/>
        <crosses val="autoZero"/>
        <crossBetween val="midCat"/>
        <majorUnit val="100"/>
        <minorUnit val="50"/>
      </valAx>
      <valAx>
        <axId val="374823344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22952"/>
        <crosses val="max"/>
        <crossBetween val="midCat"/>
      </valAx>
    </plotArea>
    <plotVisOnly val="1"/>
    <dispBlanksAs val="gap"/>
  </chart>
</chartSpace>
</file>

<file path=xl/charts/chart60.xml><?xml version="1.0" encoding="utf-8"?>
<chartSpace xmlns="http://schemas.openxmlformats.org/drawingml/2006/chart">
  <chart>
    <title>
      <tx>
        <strRef>
          <f>Sheet8!$L$1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24128"/>
        <axId val="374824520"/>
      </scatterChart>
      <valAx>
        <axId val="374824128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24520"/>
        <crosses val="autoZero"/>
        <crossBetween val="midCat"/>
        <majorUnit val="100"/>
        <minorUnit val="50"/>
      </valAx>
      <valAx>
        <axId val="374824520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24128"/>
        <crosses val="max"/>
        <crossBetween val="midCat"/>
      </valAx>
    </plotArea>
    <plotVisOnly val="1"/>
    <dispBlanksAs val="gap"/>
  </chart>
</chartSpace>
</file>

<file path=xl/charts/chart61.xml><?xml version="1.0" encoding="utf-8"?>
<chartSpace xmlns="http://schemas.openxmlformats.org/drawingml/2006/chart">
  <chart>
    <title>
      <tx>
        <strRef>
          <f>Sheet9!$L$1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25304"/>
        <axId val="374825696"/>
      </scatterChart>
      <valAx>
        <axId val="374825304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25696"/>
        <crosses val="autoZero"/>
        <crossBetween val="midCat"/>
        <majorUnit val="100"/>
        <minorUnit val="50"/>
      </valAx>
      <valAx>
        <axId val="374825696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25304"/>
        <crosses val="max"/>
        <crossBetween val="midCat"/>
      </valAx>
    </plotArea>
    <plotVisOnly val="1"/>
    <dispBlanksAs val="gap"/>
  </chart>
</chartSpace>
</file>

<file path=xl/charts/chart62.xml><?xml version="1.0" encoding="utf-8"?>
<chartSpace xmlns="http://schemas.openxmlformats.org/drawingml/2006/chart">
  <chart>
    <title>
      <tx>
        <strRef>
          <f>Sheet10!$L$1</f>
          <strCache>
            <ptCount val="1"/>
          </strCache>
        </strRef>
      </tx>
      <layout>
        <manualLayout>
          <xMode val="edge"/>
          <yMode val="edge"/>
          <wMode val="factor"/>
          <hMode val="factor"/>
          <x val="0.4469935256165707"/>
          <y val="0.0229391661037001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[0]!ActualP10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[0]!ActualM10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[0]!PlannedP10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[0]!PlannedM10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26480"/>
        <axId val="374826872"/>
      </scatterChart>
      <valAx>
        <axId val="374826480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26872"/>
        <crosses val="autoZero"/>
        <crossBetween val="midCat"/>
        <majorUnit val="100"/>
        <minorUnit val="50"/>
      </valAx>
      <valAx>
        <axId val="374826872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26480"/>
        <crosses val="max"/>
        <crossBetween val="midCat"/>
      </valAx>
    </plotArea>
    <plotVisOnly val="1"/>
    <dispBlanksAs val="gap"/>
  </chart>
</chartSpace>
</file>

<file path=xl/charts/chart63.xml><?xml version="1.0" encoding="utf-8"?>
<chartSpace xmlns="http://schemas.openxmlformats.org/drawingml/2006/chart">
  <chart>
    <title>
      <tx>
        <strRef>
          <f>Sheet11!$L$1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[0]!ActualP11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[0]!ActualM11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[0]!PlannedP11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[0]!PlannedM11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27656"/>
        <axId val="374828048"/>
      </scatterChart>
      <valAx>
        <axId val="374827656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28048"/>
        <crosses val="autoZero"/>
        <crossBetween val="midCat"/>
        <majorUnit val="100"/>
        <minorUnit val="50"/>
      </valAx>
      <valAx>
        <axId val="374828048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27656"/>
        <crosses val="max"/>
        <crossBetween val="midCat"/>
      </valAx>
    </plotArea>
    <plotVisOnly val="1"/>
    <dispBlanksAs val="gap"/>
  </chart>
</chartSpace>
</file>

<file path=xl/charts/chart64.xml><?xml version="1.0" encoding="utf-8"?>
<chartSpace xmlns="http://schemas.openxmlformats.org/drawingml/2006/chart">
  <chart>
    <title>
      <tx>
        <strRef>
          <f>Sheet12!$L$1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[0]!ActualP12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[0]!ActualM12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[0]!PlannedP12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[0]!PlannedM12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28832"/>
        <axId val="374829224"/>
      </scatterChart>
      <valAx>
        <axId val="374828832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29224"/>
        <crosses val="autoZero"/>
        <crossBetween val="midCat"/>
        <majorUnit val="100"/>
        <minorUnit val="50"/>
      </valAx>
      <valAx>
        <axId val="374829224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28832"/>
        <crosses val="max"/>
        <crossBetween val="midCat"/>
      </valAx>
    </plotArea>
    <plotVisOnly val="1"/>
    <dispBlanksAs val="gap"/>
  </chart>
</chartSpace>
</file>

<file path=xl/charts/chart65.xml><?xml version="1.0" encoding="utf-8"?>
<chartSpace xmlns="http://schemas.openxmlformats.org/drawingml/2006/chart">
  <chart>
    <title>
      <tx>
        <strRef>
          <f>Sheet13!$L$1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[0]!ActualP13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[0]!ActualM13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[0]!PlannedP13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[0]!PlannedM13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30008"/>
        <axId val="374830400"/>
      </scatterChart>
      <valAx>
        <axId val="374830008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30400"/>
        <crosses val="autoZero"/>
        <crossBetween val="midCat"/>
        <majorUnit val="100"/>
        <minorUnit val="50"/>
      </valAx>
      <valAx>
        <axId val="374830400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30008"/>
        <crosses val="max"/>
        <crossBetween val="midCat"/>
      </valAx>
    </plotArea>
    <plotVisOnly val="1"/>
    <dispBlanksAs val="gap"/>
  </chart>
</chartSpace>
</file>

<file path=xl/charts/chart66.xml><?xml version="1.0" encoding="utf-8"?>
<chartSpace xmlns="http://schemas.openxmlformats.org/drawingml/2006/chart">
  <chart>
    <title>
      <tx>
        <strRef>
          <f>Sheet14!$L$1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[0]!ActualP14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[0]!ActualM14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[0]!PlannedP14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[0]!PlannedM14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31184"/>
        <axId val="374831576"/>
      </scatterChart>
      <valAx>
        <axId val="374831184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31576"/>
        <crosses val="autoZero"/>
        <crossBetween val="midCat"/>
        <majorUnit val="100"/>
        <minorUnit val="50"/>
      </valAx>
      <valAx>
        <axId val="374831576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31184"/>
        <crosses val="max"/>
        <crossBetween val="midCat"/>
      </valAx>
    </plotArea>
    <plotVisOnly val="1"/>
    <dispBlanksAs val="gap"/>
  </chart>
</chartSpace>
</file>

<file path=xl/charts/chart67.xml><?xml version="1.0" encoding="utf-8"?>
<chartSpace xmlns="http://schemas.openxmlformats.org/drawingml/2006/chart">
  <chart>
    <title>
      <tx>
        <strRef>
          <f>Sheet15!$L$1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[0]!ActualP15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[0]!ActualM15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[0]!PlannedP15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[0]!PlannedM15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32360"/>
        <axId val="374832752"/>
      </scatterChart>
      <valAx>
        <axId val="374832360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32752"/>
        <crosses val="autoZero"/>
        <crossBetween val="midCat"/>
        <majorUnit val="100"/>
        <minorUnit val="50"/>
      </valAx>
      <valAx>
        <axId val="374832752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32360"/>
        <crosses val="max"/>
        <crossBetween val="midCat"/>
      </valAx>
    </plotArea>
    <plotVisOnly val="1"/>
    <dispBlanksAs val="gap"/>
  </chart>
</chartSpace>
</file>

<file path=xl/charts/chart68.xml><?xml version="1.0" encoding="utf-8"?>
<chartSpace xmlns="http://schemas.openxmlformats.org/drawingml/2006/chart">
  <chart>
    <title>
      <tx>
        <strRef>
          <f>Sheet16!$L$1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[0]!ActualP16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[0]!ActualM16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[0]!PlannedP16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[0]!PlannedM16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33536"/>
        <axId val="374833928"/>
      </scatterChart>
      <valAx>
        <axId val="374833536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33928"/>
        <crosses val="autoZero"/>
        <crossBetween val="midCat"/>
        <majorUnit val="100"/>
        <minorUnit val="50"/>
      </valAx>
      <valAx>
        <axId val="374833928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33536"/>
        <crosses val="max"/>
        <crossBetween val="midCat"/>
      </valAx>
    </plotArea>
    <plotVisOnly val="1"/>
    <dispBlanksAs val="gap"/>
  </chart>
</chartSpace>
</file>

<file path=xl/charts/chart69.xml><?xml version="1.0" encoding="utf-8"?>
<chartSpace xmlns="http://schemas.openxmlformats.org/drawingml/2006/chart">
  <chart>
    <title>
      <tx>
        <strRef>
          <f>Sheet17!$L$1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[0]!ActualP17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[0]!ActualM17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[0]!PlannedP17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[0]!PlannedM17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34712"/>
        <axId val="374835104"/>
      </scatterChart>
      <valAx>
        <axId val="374834712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35104"/>
        <crosses val="autoZero"/>
        <crossBetween val="midCat"/>
        <majorUnit val="100"/>
        <minorUnit val="50"/>
      </valAx>
      <valAx>
        <axId val="374835104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34712"/>
        <crosses val="max"/>
        <crossBetween val="midCat"/>
      </valAx>
    </plotArea>
    <plotVisOnly val="1"/>
    <dispBlanksAs val="gap"/>
  </chart>
</chartSpace>
</file>

<file path=xl/charts/chart70.xml><?xml version="1.0" encoding="utf-8"?>
<chartSpace xmlns="http://schemas.openxmlformats.org/drawingml/2006/chart">
  <chart>
    <title>
      <tx>
        <strRef>
          <f>Sheet18!$L$1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[0]!ActualP18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[0]!ActualM18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[0]!PlannedP18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[0]!PlannedM18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35888"/>
        <axId val="374836280"/>
      </scatterChart>
      <valAx>
        <axId val="374835888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36280"/>
        <crosses val="autoZero"/>
        <crossBetween val="midCat"/>
        <majorUnit val="100"/>
        <minorUnit val="50"/>
      </valAx>
      <valAx>
        <axId val="374836280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35888"/>
        <crosses val="max"/>
        <crossBetween val="midCat"/>
      </valAx>
    </plotArea>
    <plotVisOnly val="1"/>
    <dispBlanksAs val="gap"/>
  </chart>
</chartSpace>
</file>

<file path=xl/charts/chart71.xml><?xml version="1.0" encoding="utf-8"?>
<chartSpace xmlns="http://schemas.openxmlformats.org/drawingml/2006/chart">
  <chart>
    <title>
      <tx>
        <strRef>
          <f>Sheet19!$L$1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[0]!ActualP19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[0]!ActualM19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[0]!PlannedP19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[0]!PlannedM19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37064"/>
        <axId val="374837456"/>
      </scatterChart>
      <valAx>
        <axId val="374837064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37456"/>
        <crosses val="autoZero"/>
        <crossBetween val="midCat"/>
        <majorUnit val="100"/>
        <minorUnit val="50"/>
      </valAx>
      <valAx>
        <axId val="374837456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37064"/>
        <crosses val="max"/>
        <crossBetween val="midCat"/>
      </valAx>
    </plotArea>
    <plotVisOnly val="1"/>
    <dispBlanksAs val="gap"/>
  </chart>
</chartSpace>
</file>

<file path=xl/charts/chart72.xml><?xml version="1.0" encoding="utf-8"?>
<chartSpace xmlns="http://schemas.openxmlformats.org/drawingml/2006/chart">
  <chart>
    <title>
      <tx>
        <strRef>
          <f>Sheet20!$L$1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[0]!ActualP20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[0]!ActualM20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[0]!PlannedP20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[0]!PlannedM20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38240"/>
        <axId val="374838632"/>
      </scatterChart>
      <valAx>
        <axId val="374838240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38632"/>
        <crosses val="autoZero"/>
        <crossBetween val="midCat"/>
        <majorUnit val="100"/>
        <minorUnit val="50"/>
      </valAx>
      <valAx>
        <axId val="374838632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38240"/>
        <crosses val="max"/>
        <crossBetween val="midCat"/>
      </valAx>
    </plotArea>
    <plotVisOnly val="1"/>
    <dispBlanksAs val="gap"/>
  </chart>
</chartSpace>
</file>

<file path=xl/charts/chart73.xml><?xml version="1.0" encoding="utf-8"?>
<chartSpace xmlns="http://schemas.openxmlformats.org/drawingml/2006/chart">
  <chart>
    <title>
      <tx>
        <strRef>
          <f>Sheet21!$L$1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[0]!ActualP21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[0]!ActualM21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[0]!PlannedP21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[0]!PlannedM21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388600"/>
        <axId val="375388992"/>
      </scatterChart>
      <valAx>
        <axId val="375388600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5388992"/>
        <crosses val="autoZero"/>
        <crossBetween val="midCat"/>
        <majorUnit val="100"/>
        <minorUnit val="50"/>
      </valAx>
      <valAx>
        <axId val="375388992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388600"/>
        <crosses val="max"/>
        <crossBetween val="midCat"/>
      </valAx>
    </plotArea>
    <plotVisOnly val="1"/>
    <dispBlanksAs val="gap"/>
  </chart>
</chartSpace>
</file>

<file path=xl/charts/chart74.xml><?xml version="1.0" encoding="utf-8"?>
<chartSpace xmlns="http://schemas.openxmlformats.org/drawingml/2006/chart">
  <chart>
    <title>
      <tx>
        <strRef>
          <f>Sheet22!$L$1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[0]!ActualP22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[0]!ActualM22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[0]!PlannedP22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[0]!PlannedM22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389776"/>
        <axId val="375390168"/>
      </scatterChart>
      <valAx>
        <axId val="375389776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5390168"/>
        <crosses val="autoZero"/>
        <crossBetween val="midCat"/>
        <majorUnit val="100"/>
        <minorUnit val="50"/>
      </valAx>
      <valAx>
        <axId val="375390168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389776"/>
        <crosses val="max"/>
        <crossBetween val="midCat"/>
      </valAx>
    </plotArea>
    <plotVisOnly val="1"/>
    <dispBlanksAs val="gap"/>
  </chart>
</chartSpace>
</file>

<file path=xl/charts/chart75.xml><?xml version="1.0" encoding="utf-8"?>
<chartSpace xmlns="http://schemas.openxmlformats.org/drawingml/2006/chart">
  <chart>
    <title>
      <tx>
        <strRef>
          <f>Sheet23!$L$1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[0]!ActualP23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[0]!ActualM23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[0]!PlannedP23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[0]!PlannedM23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390952"/>
        <axId val="375391344"/>
      </scatterChart>
      <valAx>
        <axId val="375390952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5391344"/>
        <crosses val="autoZero"/>
        <crossBetween val="midCat"/>
        <majorUnit val="100"/>
        <minorUnit val="50"/>
      </valAx>
      <valAx>
        <axId val="375391344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390952"/>
        <crosses val="max"/>
        <crossBetween val="midCat"/>
      </valAx>
    </plotArea>
    <plotVisOnly val="1"/>
    <dispBlanksAs val="gap"/>
  </chart>
</chartSpace>
</file>

<file path=xl/charts/chart76.xml><?xml version="1.0" encoding="utf-8"?>
<chartSpace xmlns="http://schemas.openxmlformats.org/drawingml/2006/chart">
  <chart>
    <title>
      <tx>
        <strRef>
          <f>Sheet24!$L$1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[0]!ActualP24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[0]!ActualM24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[0]!PlannedP24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[0]!PlannedM24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392128"/>
        <axId val="375392520"/>
      </scatterChart>
      <valAx>
        <axId val="375392128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5392520"/>
        <crosses val="autoZero"/>
        <crossBetween val="midCat"/>
        <majorUnit val="100"/>
        <minorUnit val="50"/>
      </valAx>
      <valAx>
        <axId val="375392520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392128"/>
        <crosses val="max"/>
        <crossBetween val="midCat"/>
      </valAx>
    </plotArea>
    <plotVisOnly val="1"/>
    <dispBlanksAs val="gap"/>
  </chart>
</chartSpace>
</file>

<file path=xl/charts/chart77.xml><?xml version="1.0" encoding="utf-8"?>
<chartSpace xmlns="http://schemas.openxmlformats.org/drawingml/2006/chart">
  <chart>
    <title>
      <tx>
        <strRef>
          <f>Sheet25!$L$1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[0]!ActualP25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[0]!ActualM25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[0]!PlannedP25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[0]!PlannedM25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393304"/>
        <axId val="375393696"/>
      </scatterChart>
      <valAx>
        <axId val="375393304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5393696"/>
        <crosses val="autoZero"/>
        <crossBetween val="midCat"/>
        <majorUnit val="100"/>
        <minorUnit val="50"/>
      </valAx>
      <valAx>
        <axId val="375393696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393304"/>
        <crosses val="max"/>
        <crossBetween val="midCat"/>
      </valAx>
    </plotArea>
    <plotVisOnly val="1"/>
    <dispBlanksAs val="gap"/>
  </chart>
</chartSpace>
</file>

<file path=xl/charts/chart78.xml><?xml version="1.0" encoding="utf-8"?>
<chartSpace xmlns="http://schemas.openxmlformats.org/drawingml/2006/chart">
  <chart>
    <title>
      <tx>
        <strRef>
          <f>Sheet26!$L$1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[0]!ActualP26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[0]!ActualM26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[0]!PlannedP26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[0]!PlannedM26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394480"/>
        <axId val="375394872"/>
      </scatterChart>
      <valAx>
        <axId val="375394480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5394872"/>
        <crosses val="autoZero"/>
        <crossBetween val="midCat"/>
        <majorUnit val="100"/>
        <minorUnit val="50"/>
      </valAx>
      <valAx>
        <axId val="375394872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394480"/>
        <crosses val="max"/>
        <crossBetween val="midCat"/>
      </valAx>
    </plotArea>
    <plotVisOnly val="1"/>
    <dispBlanksAs val="gap"/>
  </chart>
</chartSpace>
</file>

<file path=xl/charts/chart79.xml><?xml version="1.0" encoding="utf-8"?>
<chartSpace xmlns="http://schemas.openxmlformats.org/drawingml/2006/chart">
  <chart>
    <title>
      <tx>
        <strRef>
          <f>Sheet27!$L$1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[0]!ActualP27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[0]!ActualM27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[0]!PlannedP27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[0]!PlannedM27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395656"/>
        <axId val="375396048"/>
      </scatterChart>
      <valAx>
        <axId val="375395656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5396048"/>
        <crosses val="autoZero"/>
        <crossBetween val="midCat"/>
        <majorUnit val="100"/>
        <minorUnit val="50"/>
      </valAx>
      <valAx>
        <axId val="375396048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395656"/>
        <crosses val="max"/>
        <crossBetween val="midCat"/>
      </valAx>
    </plotArea>
    <plotVisOnly val="1"/>
    <dispBlanksAs val="gap"/>
  </chart>
</chartSpace>
</file>

<file path=xl/charts/chart80.xml><?xml version="1.0" encoding="utf-8"?>
<chartSpace xmlns="http://schemas.openxmlformats.org/drawingml/2006/chart">
  <chart>
    <title>
      <tx>
        <strRef>
          <f>Sheet28!$L$1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[0]!ActualP28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[0]!ActualM28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[0]!PlannedP28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[0]!PlannedM28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396832"/>
        <axId val="375397224"/>
      </scatterChart>
      <valAx>
        <axId val="375396832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5397224"/>
        <crosses val="autoZero"/>
        <crossBetween val="midCat"/>
        <majorUnit val="100"/>
        <minorUnit val="50"/>
      </valAx>
      <valAx>
        <axId val="375397224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396832"/>
        <crosses val="max"/>
        <crossBetween val="midCat"/>
      </valAx>
    </plotArea>
    <plotVisOnly val="1"/>
    <dispBlanksAs val="gap"/>
  </chart>
</chartSpace>
</file>

<file path=xl/charts/chart81.xml><?xml version="1.0" encoding="utf-8"?>
<chartSpace xmlns="http://schemas.openxmlformats.org/drawingml/2006/chart">
  <chart>
    <title>
      <tx>
        <strRef>
          <f>Sheet29!$L$1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[0]!ActualP29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[0]!ActualM29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[0]!PlannedP29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[0]!PlannedM29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398008"/>
        <axId val="375398400"/>
      </scatterChart>
      <valAx>
        <axId val="375398008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5398400"/>
        <crosses val="autoZero"/>
        <crossBetween val="midCat"/>
        <majorUnit val="100"/>
        <minorUnit val="50"/>
      </valAx>
      <valAx>
        <axId val="375398400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398008"/>
        <crosses val="max"/>
        <crossBetween val="midCat"/>
      </valAx>
    </plotArea>
    <plotVisOnly val="1"/>
    <dispBlanksAs val="gap"/>
  </chart>
</chartSpace>
</file>

<file path=xl/charts/chart82.xml><?xml version="1.0" encoding="utf-8"?>
<chartSpace xmlns="http://schemas.openxmlformats.org/drawingml/2006/chart">
  <chart>
    <title>
      <tx>
        <strRef>
          <f>Sheet30!$L$1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[0]!ActualP30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[0]!ActualM30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[0]!PlannedP30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[0]!PlannedM30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399184"/>
        <axId val="375399576"/>
      </scatterChart>
      <valAx>
        <axId val="375399184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5399576"/>
        <crosses val="autoZero"/>
        <crossBetween val="midCat"/>
        <majorUnit val="100"/>
        <minorUnit val="50"/>
      </valAx>
      <valAx>
        <axId val="375399576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399184"/>
        <crosses val="max"/>
        <crossBetween val="midCat"/>
      </valAx>
    </plotArea>
    <plotVisOnly val="1"/>
    <dispBlanksAs val="gap"/>
  </chart>
</chartSpace>
</file>

<file path=xl/charts/chart83.xml><?xml version="1.0" encoding="utf-8"?>
<chartSpace xmlns="http://schemas.openxmlformats.org/drawingml/2006/chart">
  <chart>
    <title>
      <tx>
        <strRef>
          <f>Sheet31!$L$1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[0]!ActualP31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[0]!ActualM31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[0]!PlannedP31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[0]!PlannedM31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400360"/>
        <axId val="375400752"/>
      </scatterChart>
      <valAx>
        <axId val="375400360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5400752"/>
        <crosses val="autoZero"/>
        <crossBetween val="midCat"/>
        <majorUnit val="100"/>
        <minorUnit val="50"/>
      </valAx>
      <valAx>
        <axId val="375400752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400360"/>
        <crosses val="max"/>
        <crossBetween val="midCat"/>
      </valAx>
    </plotArea>
    <plotVisOnly val="1"/>
    <dispBlanksAs val="gap"/>
  </chart>
</chartSpace>
</file>

<file path=xl/charts/chart84.xml><?xml version="1.0" encoding="utf-8"?>
<chartSpace xmlns="http://schemas.openxmlformats.org/drawingml/2006/chart">
  <chart>
    <title>
      <tx>
        <strRef>
          <f>Sheet32!$L$1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[0]!ActualP32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[0]!ActualM32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[0]!PlannedP32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[0]!PlannedM32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401536"/>
        <axId val="375401928"/>
      </scatterChart>
      <valAx>
        <axId val="375401536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5401928"/>
        <crosses val="autoZero"/>
        <crossBetween val="midCat"/>
        <majorUnit val="100"/>
        <minorUnit val="50"/>
      </valAx>
      <valAx>
        <axId val="375401928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401536"/>
        <crosses val="max"/>
        <crossBetween val="midCat"/>
      </valAx>
    </plotArea>
    <plotVisOnly val="1"/>
    <dispBlanksAs val="gap"/>
  </chart>
</chartSpace>
</file>

<file path=xl/charts/chart85.xml><?xml version="1.0" encoding="utf-8"?>
<chartSpace xmlns="http://schemas.openxmlformats.org/drawingml/2006/chart">
  <chart>
    <title>
      <tx>
        <strRef>
          <f>Sheet33!$L$1</f>
          <strCache>
            <ptCount val="1"/>
          </strCache>
        </strRef>
      </tx>
      <layout>
        <manualLayout>
          <xMode val="edge"/>
          <yMode val="edge"/>
          <wMode val="factor"/>
          <hMode val="factor"/>
          <x val="0.438326334208224"/>
          <y val="0.01720430107526882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[0]!ActualP33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[0]!ActualM33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[0]!PlannedP33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[0]!PlannedM33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402712"/>
        <axId val="375403104"/>
      </scatterChart>
      <valAx>
        <axId val="375402712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5403104"/>
        <crosses val="autoZero"/>
        <crossBetween val="midCat"/>
        <majorUnit val="100"/>
        <minorUnit val="50"/>
      </valAx>
      <valAx>
        <axId val="375403104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402712"/>
        <crosses val="max"/>
        <crossBetween val="midCat"/>
      </valAx>
    </plotArea>
    <plotVisOnly val="1"/>
    <dispBlanksAs val="gap"/>
  </chart>
</chartSpace>
</file>

<file path=xl/charts/chart86.xml><?xml version="1.0" encoding="utf-8"?>
<chartSpace xmlns="http://schemas.openxmlformats.org/drawingml/2006/chart">
  <chart>
    <title>
      <tx>
        <strRef>
          <f>Sheet34!$L$1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[0]!ActualP34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[0]!ActualM34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[0]!PlannedP34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[0]!PlannedM34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403888"/>
        <axId val="376180744"/>
      </scatterChart>
      <valAx>
        <axId val="375403888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80744"/>
        <crosses val="autoZero"/>
        <crossBetween val="midCat"/>
        <majorUnit val="100"/>
        <minorUnit val="50"/>
      </valAx>
      <valAx>
        <axId val="376180744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403888"/>
        <crosses val="max"/>
        <crossBetween val="midCat"/>
      </valAx>
    </plotArea>
    <plotVisOnly val="1"/>
    <dispBlanksAs val="gap"/>
  </chart>
</chartSpace>
</file>

<file path=xl/charts/chart87.xml><?xml version="1.0" encoding="utf-8"?>
<chartSpace xmlns="http://schemas.openxmlformats.org/drawingml/2006/chart">
  <chart>
    <title>
      <tx>
        <strRef>
          <f>Sheet35!$L$1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[0]!ActualP35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[0]!ActualM35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[0]!PlannedP35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[0]!PlannedM35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181528"/>
        <axId val="376181920"/>
      </scatterChart>
      <valAx>
        <axId val="376181528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81920"/>
        <crosses val="autoZero"/>
        <crossBetween val="midCat"/>
        <majorUnit val="100"/>
        <minorUnit val="50"/>
      </valAx>
      <valAx>
        <axId val="376181920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181528"/>
        <crosses val="max"/>
        <crossBetween val="midCat"/>
      </valAx>
    </plotArea>
    <plotVisOnly val="1"/>
    <dispBlanksAs val="gap"/>
  </chart>
</chartSpace>
</file>

<file path=xl/charts/chart88.xml><?xml version="1.0" encoding="utf-8"?>
<chartSpace xmlns="http://schemas.openxmlformats.org/drawingml/2006/chart">
  <chart>
    <title>
      <tx>
        <strRef>
          <f>Sheet36!$L$1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[0]!ActualP36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[0]!ActualM36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[0]!PlannedP36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[0]!PlannedM36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182704"/>
        <axId val="376183096"/>
      </scatterChart>
      <valAx>
        <axId val="376182704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83096"/>
        <crosses val="autoZero"/>
        <crossBetween val="midCat"/>
        <majorUnit val="100"/>
        <minorUnit val="50"/>
      </valAx>
      <valAx>
        <axId val="376183096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182704"/>
        <crosses val="max"/>
        <crossBetween val="midCat"/>
      </valAx>
    </plotArea>
    <plotVisOnly val="1"/>
    <dispBlanksAs val="gap"/>
  </chart>
</chartSpace>
</file>

<file path=xl/charts/chart89.xml><?xml version="1.0" encoding="utf-8"?>
<chartSpace xmlns="http://schemas.openxmlformats.org/drawingml/2006/chart">
  <chart>
    <title>
      <tx>
        <strRef>
          <f>Sheet37!$L$1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[0]!ActualP37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[0]!ActualM37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[0]!PlannedP37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[0]!PlannedM37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183880"/>
        <axId val="376184272"/>
      </scatterChart>
      <valAx>
        <axId val="376183880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84272"/>
        <crosses val="autoZero"/>
        <crossBetween val="midCat"/>
        <majorUnit val="100"/>
        <minorUnit val="50"/>
      </valAx>
      <valAx>
        <axId val="376184272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183880"/>
        <crosses val="max"/>
        <crossBetween val="midCat"/>
      </valAx>
    </plotArea>
    <plotVisOnly val="1"/>
    <dispBlanksAs val="gap"/>
  </chart>
</chartSpace>
</file>

<file path=xl/charts/chart90.xml><?xml version="1.0" encoding="utf-8"?>
<chartSpace xmlns="http://schemas.openxmlformats.org/drawingml/2006/chart">
  <chart>
    <title>
      <tx>
        <strRef>
          <f>Sheet38!$L$1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[0]!ActualP38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[0]!ActualM38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[0]!PlannedP38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[0]!PlannedM38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185056"/>
        <axId val="376185448"/>
      </scatterChart>
      <valAx>
        <axId val="376185056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85448"/>
        <crosses val="autoZero"/>
        <crossBetween val="midCat"/>
        <majorUnit val="100"/>
        <minorUnit val="50"/>
      </valAx>
      <valAx>
        <axId val="376185448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185056"/>
        <crosses val="max"/>
        <crossBetween val="midCat"/>
      </valAx>
    </plotArea>
    <plotVisOnly val="1"/>
    <dispBlanksAs val="gap"/>
  </chart>
</chartSpace>
</file>

<file path=xl/charts/chart91.xml><?xml version="1.0" encoding="utf-8"?>
<chartSpace xmlns="http://schemas.openxmlformats.org/drawingml/2006/chart">
  <chart>
    <title>
      <tx>
        <strRef>
          <f>Sheet39!$L$1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[0]!ActualP39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[0]!ActualM39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[0]!PlannedP39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[0]!PlannedM39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186232"/>
        <axId val="376186624"/>
      </scatterChart>
      <valAx>
        <axId val="376186232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86624"/>
        <crosses val="autoZero"/>
        <crossBetween val="midCat"/>
        <majorUnit val="100"/>
        <minorUnit val="50"/>
      </valAx>
      <valAx>
        <axId val="376186624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186232"/>
        <crosses val="max"/>
        <crossBetween val="midCat"/>
      </valAx>
    </plotArea>
    <plotVisOnly val="1"/>
    <dispBlanksAs val="gap"/>
  </chart>
</chartSpace>
</file>

<file path=xl/charts/chart92.xml><?xml version="1.0" encoding="utf-8"?>
<chartSpace xmlns="http://schemas.openxmlformats.org/drawingml/2006/chart">
  <chart>
    <title>
      <tx>
        <strRef>
          <f>Sheet40!$L$1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[0]!ActualP40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[0]!ActualM40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[0]!PlannedP40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[0]!PlannedM40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187408"/>
        <axId val="376187800"/>
      </scatterChart>
      <valAx>
        <axId val="376187408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87800"/>
        <crosses val="autoZero"/>
        <crossBetween val="midCat"/>
        <majorUnit val="100"/>
        <minorUnit val="50"/>
      </valAx>
      <valAx>
        <axId val="376187800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187408"/>
        <crosses val="max"/>
        <crossBetween val="midCat"/>
      </valAx>
    </plotArea>
    <plotVisOnly val="1"/>
    <dispBlanksAs val="gap"/>
  </chart>
</chartSpace>
</file>

<file path=xl/charts/chart93.xml><?xml version="1.0" encoding="utf-8"?>
<chartSpace xmlns="http://schemas.openxmlformats.org/drawingml/2006/chart">
  <chart>
    <title>
      <tx>
        <strRef>
          <f>Sheet41!$L$1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[0]!ActualP41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[0]!ActualM41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[0]!PlannedP41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[0]!PlannedM41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188584"/>
        <axId val="376188976"/>
      </scatterChart>
      <valAx>
        <axId val="376188584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88976"/>
        <crosses val="autoZero"/>
        <crossBetween val="midCat"/>
        <majorUnit val="100"/>
        <minorUnit val="50"/>
      </valAx>
      <valAx>
        <axId val="376188976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188584"/>
        <crosses val="max"/>
        <crossBetween val="midCat"/>
      </valAx>
    </plotArea>
    <plotVisOnly val="1"/>
    <dispBlanksAs val="gap"/>
  </chart>
</chartSpace>
</file>

<file path=xl/charts/chart94.xml><?xml version="1.0" encoding="utf-8"?>
<chartSpace xmlns="http://schemas.openxmlformats.org/drawingml/2006/chart">
  <chart>
    <title>
      <tx>
        <strRef>
          <f>Sheet42!$L$1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[0]!ActualP42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[0]!ActualM42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[0]!PlannedP42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[0]!PlannedM42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189760"/>
        <axId val="376190152"/>
      </scatterChart>
      <valAx>
        <axId val="376189760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90152"/>
        <crosses val="autoZero"/>
        <crossBetween val="midCat"/>
        <majorUnit val="100"/>
        <minorUnit val="50"/>
      </valAx>
      <valAx>
        <axId val="376190152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189760"/>
        <crosses val="max"/>
        <crossBetween val="midCat"/>
      </valAx>
    </plotArea>
    <plotVisOnly val="1"/>
    <dispBlanksAs val="gap"/>
  </chart>
</chartSpace>
</file>

<file path=xl/charts/chart95.xml><?xml version="1.0" encoding="utf-8"?>
<chartSpace xmlns="http://schemas.openxmlformats.org/drawingml/2006/chart">
  <chart>
    <title>
      <tx>
        <strRef>
          <f>Sheet43!$L$1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[0]!ActualP43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[0]!ActualM43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[0]!PlannedP43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[0]!PlannedM43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190936"/>
        <axId val="376191328"/>
      </scatterChart>
      <valAx>
        <axId val="376190936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91328"/>
        <crosses val="autoZero"/>
        <crossBetween val="midCat"/>
        <majorUnit val="100"/>
        <minorUnit val="50"/>
      </valAx>
      <valAx>
        <axId val="376191328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190936"/>
        <crosses val="max"/>
        <crossBetween val="midCat"/>
      </valAx>
    </plotArea>
    <plotVisOnly val="1"/>
    <dispBlanksAs val="gap"/>
  </chart>
</chartSpace>
</file>

<file path=xl/charts/chart96.xml><?xml version="1.0" encoding="utf-8"?>
<chartSpace xmlns="http://schemas.openxmlformats.org/drawingml/2006/chart">
  <chart>
    <title>
      <tx>
        <strRef>
          <f>Sheet44!$L$1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[0]!ActualP44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[0]!ActualM44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[0]!PlannedP44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[0]!PlannedM44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192112"/>
        <axId val="376192504"/>
      </scatterChart>
      <valAx>
        <axId val="376192112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92504"/>
        <crosses val="autoZero"/>
        <crossBetween val="midCat"/>
        <majorUnit val="100"/>
        <minorUnit val="50"/>
      </valAx>
      <valAx>
        <axId val="376192504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192112"/>
        <crosses val="max"/>
        <crossBetween val="midCat"/>
      </valAx>
    </plotArea>
    <plotVisOnly val="1"/>
    <dispBlanksAs val="gap"/>
  </chart>
</chartSpace>
</file>

<file path=xl/charts/chart97.xml><?xml version="1.0" encoding="utf-8"?>
<chartSpace xmlns="http://schemas.openxmlformats.org/drawingml/2006/chart">
  <chart>
    <title>
      <tx>
        <strRef>
          <f>Sheet45!$L$1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[0]!ActualP45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[0]!ActualM45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[0]!PlannedP45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[0]!PlannedM45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193288"/>
        <axId val="376193680"/>
      </scatterChart>
      <valAx>
        <axId val="376193288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93680"/>
        <crosses val="autoZero"/>
        <crossBetween val="midCat"/>
        <majorUnit val="100"/>
        <minorUnit val="50"/>
      </valAx>
      <valAx>
        <axId val="376193680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193288"/>
        <crosses val="max"/>
        <crossBetween val="midCat"/>
      </valAx>
    </plotArea>
    <plotVisOnly val="1"/>
    <dispBlanksAs val="gap"/>
  </chart>
</chartSpace>
</file>

<file path=xl/charts/chart98.xml><?xml version="1.0" encoding="utf-8"?>
<chartSpace xmlns="http://schemas.openxmlformats.org/drawingml/2006/chart">
  <chart>
    <title>
      <tx>
        <strRef>
          <f>Sheet46!$L$1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[0]!ActualP46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[0]!ActualM46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[0]!PlannedP46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[0]!PlannedM46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194464"/>
        <axId val="376194856"/>
      </scatterChart>
      <valAx>
        <axId val="376194464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94856"/>
        <crosses val="autoZero"/>
        <crossBetween val="midCat"/>
        <majorUnit val="100"/>
        <minorUnit val="50"/>
      </valAx>
      <valAx>
        <axId val="376194856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194464"/>
        <crosses val="max"/>
        <crossBetween val="midCat"/>
      </valAx>
    </plotArea>
    <plotVisOnly val="1"/>
    <dispBlanksAs val="gap"/>
  </chart>
</chartSpace>
</file>

<file path=xl/charts/chart99.xml><?xml version="1.0" encoding="utf-8"?>
<chartSpace xmlns="http://schemas.openxmlformats.org/drawingml/2006/chart">
  <chart>
    <title>
      <tx>
        <strRef>
          <f>Sheet47!$L$1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[0]!ActualP47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[0]!ActualM47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[0]!PlannedP47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[0]!PlannedM47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195640"/>
        <axId val="376196032"/>
      </scatterChart>
      <valAx>
        <axId val="376195640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96032"/>
        <crosses val="autoZero"/>
        <crossBetween val="midCat"/>
        <majorUnit val="100"/>
        <minorUnit val="50"/>
      </valAx>
      <valAx>
        <axId val="376196032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195640"/>
        <crosses val="max"/>
        <crossBetween val="midCat"/>
      </valAx>
    </plotArea>
    <plotVisOnly val="1"/>
    <dispBlanksAs val="gap"/>
  </chart>
</chartSpace>
</file>

<file path=xl/charts/chart100.xml><?xml version="1.0" encoding="utf-8"?>
<chartSpace xmlns="http://schemas.openxmlformats.org/drawingml/2006/chart">
  <chart>
    <title>
      <tx>
        <strRef>
          <f>Sheet48!$L$1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[0]!ActualP48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[0]!ActualM48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[0]!PlannedP48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[0]!PlannedM48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855616"/>
        <axId val="376856008"/>
      </scatterChart>
      <valAx>
        <axId val="376855616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856008"/>
        <crosses val="autoZero"/>
        <crossBetween val="midCat"/>
        <majorUnit val="100"/>
        <minorUnit val="50"/>
      </valAx>
      <valAx>
        <axId val="376856008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855616"/>
        <crosses val="max"/>
        <crossBetween val="midCat"/>
      </valAx>
    </plotArea>
    <plotVisOnly val="1"/>
    <dispBlanksAs val="gap"/>
  </chart>
</chartSpace>
</file>

<file path=xl/charts/chart101.xml><?xml version="1.0" encoding="utf-8"?>
<chartSpace xmlns="http://schemas.openxmlformats.org/drawingml/2006/chart">
  <chart>
    <title>
      <tx>
        <strRef>
          <f>Sheet49!$L$1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[0]!ActualP49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[0]!ActualM49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[0]!PlannedP49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[0]!PlannedM49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856792"/>
        <axId val="376857184"/>
      </scatterChart>
      <valAx>
        <axId val="376856792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857184"/>
        <crosses val="autoZero"/>
        <crossBetween val="midCat"/>
        <majorUnit val="100"/>
        <minorUnit val="50"/>
      </valAx>
      <valAx>
        <axId val="376857184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856792"/>
        <crosses val="max"/>
        <crossBetween val="midCat"/>
      </valAx>
    </plotArea>
    <plotVisOnly val="1"/>
    <dispBlanksAs val="gap"/>
  </chart>
</chartSpace>
</file>

<file path=xl/charts/chart102.xml><?xml version="1.0" encoding="utf-8"?>
<chartSpace xmlns="http://schemas.openxmlformats.org/drawingml/2006/chart">
  <chart>
    <title>
      <tx>
        <strRef>
          <f>Sheet50!$L$1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[0]!ActualP50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[0]!Depth50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[0]!ActualM50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[0]!Depth50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[0]!PlannedP50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[0]!Depth50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[0]!PlannedM50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[0]!Depth50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857968"/>
        <axId val="376858360"/>
      </scatterChart>
      <valAx>
        <axId val="376857968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858360"/>
        <crosses val="autoZero"/>
        <crossBetween val="midCat"/>
        <majorUnit val="100"/>
        <minorUnit val="50"/>
      </valAx>
      <valAx>
        <axId val="376858360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857968"/>
        <crosses val="max"/>
        <crossBetween val="midCat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Relationship Type="http://schemas.openxmlformats.org/officeDocument/2006/relationships/chart" Target="/xl/charts/chart28.xml" Id="rId28"/><Relationship Type="http://schemas.openxmlformats.org/officeDocument/2006/relationships/chart" Target="/xl/charts/chart29.xml" Id="rId29"/><Relationship Type="http://schemas.openxmlformats.org/officeDocument/2006/relationships/chart" Target="/xl/charts/chart30.xml" Id="rId30"/><Relationship Type="http://schemas.openxmlformats.org/officeDocument/2006/relationships/chart" Target="/xl/charts/chart31.xml" Id="rId31"/><Relationship Type="http://schemas.openxmlformats.org/officeDocument/2006/relationships/chart" Target="/xl/charts/chart32.xml" Id="rId32"/><Relationship Type="http://schemas.openxmlformats.org/officeDocument/2006/relationships/chart" Target="/xl/charts/chart33.xml" Id="rId33"/><Relationship Type="http://schemas.openxmlformats.org/officeDocument/2006/relationships/chart" Target="/xl/charts/chart34.xml" Id="rId34"/><Relationship Type="http://schemas.openxmlformats.org/officeDocument/2006/relationships/chart" Target="/xl/charts/chart35.xml" Id="rId35"/><Relationship Type="http://schemas.openxmlformats.org/officeDocument/2006/relationships/chart" Target="/xl/charts/chart36.xml" Id="rId36"/><Relationship Type="http://schemas.openxmlformats.org/officeDocument/2006/relationships/chart" Target="/xl/charts/chart37.xml" Id="rId37"/><Relationship Type="http://schemas.openxmlformats.org/officeDocument/2006/relationships/chart" Target="/xl/charts/chart38.xml" Id="rId38"/><Relationship Type="http://schemas.openxmlformats.org/officeDocument/2006/relationships/chart" Target="/xl/charts/chart39.xml" Id="rId39"/><Relationship Type="http://schemas.openxmlformats.org/officeDocument/2006/relationships/chart" Target="/xl/charts/chart40.xml" Id="rId40"/><Relationship Type="http://schemas.openxmlformats.org/officeDocument/2006/relationships/chart" Target="/xl/charts/chart41.xml" Id="rId41"/><Relationship Type="http://schemas.openxmlformats.org/officeDocument/2006/relationships/chart" Target="/xl/charts/chart42.xml" Id="rId42"/><Relationship Type="http://schemas.openxmlformats.org/officeDocument/2006/relationships/chart" Target="/xl/charts/chart43.xml" Id="rId43"/><Relationship Type="http://schemas.openxmlformats.org/officeDocument/2006/relationships/chart" Target="/xl/charts/chart44.xml" Id="rId44"/><Relationship Type="http://schemas.openxmlformats.org/officeDocument/2006/relationships/chart" Target="/xl/charts/chart45.xml" Id="rId45"/><Relationship Type="http://schemas.openxmlformats.org/officeDocument/2006/relationships/chart" Target="/xl/charts/chart46.xml" Id="rId46"/><Relationship Type="http://schemas.openxmlformats.org/officeDocument/2006/relationships/chart" Target="/xl/charts/chart47.xml" Id="rId47"/><Relationship Type="http://schemas.openxmlformats.org/officeDocument/2006/relationships/chart" Target="/xl/charts/chart48.xml" Id="rId48"/><Relationship Type="http://schemas.openxmlformats.org/officeDocument/2006/relationships/chart" Target="/xl/charts/chart49.xml" Id="rId49"/><Relationship Type="http://schemas.openxmlformats.org/officeDocument/2006/relationships/chart" Target="/xl/charts/chart50.xml" Id="rId50"/><Relationship Type="http://schemas.openxmlformats.org/officeDocument/2006/relationships/chart" Target="/xl/charts/chart51.xml" Id="rId51"/><Relationship Type="http://schemas.openxmlformats.org/officeDocument/2006/relationships/chart" Target="/xl/charts/chart52.xml" Id="rId52"/><Relationship Type="http://schemas.openxmlformats.org/officeDocument/2006/relationships/chart" Target="/xl/charts/chart53.xml" Id="rId53"/><Relationship Type="http://schemas.openxmlformats.org/officeDocument/2006/relationships/chart" Target="/xl/charts/chart54.xml" Id="rId54"/><Relationship Type="http://schemas.openxmlformats.org/officeDocument/2006/relationships/chart" Target="/xl/charts/chart55.xml" Id="rId55"/><Relationship Type="http://schemas.openxmlformats.org/officeDocument/2006/relationships/chart" Target="/xl/charts/chart56.xml" Id="rId56"/><Relationship Type="http://schemas.openxmlformats.org/officeDocument/2006/relationships/chart" Target="/xl/charts/chart57.xml" Id="rId57"/><Relationship Type="http://schemas.openxmlformats.org/officeDocument/2006/relationships/chart" Target="/xl/charts/chart58.xml" Id="rId58"/><Relationship Type="http://schemas.openxmlformats.org/officeDocument/2006/relationships/chart" Target="/xl/charts/chart59.xml" Id="rId59"/><Relationship Type="http://schemas.openxmlformats.org/officeDocument/2006/relationships/chart" Target="/xl/charts/chart60.xml" Id="rId60"/><Relationship Type="http://schemas.openxmlformats.org/officeDocument/2006/relationships/chart" Target="/xl/charts/chart61.xml" Id="rId61"/><Relationship Type="http://schemas.openxmlformats.org/officeDocument/2006/relationships/chart" Target="/xl/charts/chart62.xml" Id="rId62"/><Relationship Type="http://schemas.openxmlformats.org/officeDocument/2006/relationships/chart" Target="/xl/charts/chart63.xml" Id="rId63"/><Relationship Type="http://schemas.openxmlformats.org/officeDocument/2006/relationships/chart" Target="/xl/charts/chart64.xml" Id="rId64"/><Relationship Type="http://schemas.openxmlformats.org/officeDocument/2006/relationships/chart" Target="/xl/charts/chart65.xml" Id="rId65"/><Relationship Type="http://schemas.openxmlformats.org/officeDocument/2006/relationships/chart" Target="/xl/charts/chart66.xml" Id="rId66"/><Relationship Type="http://schemas.openxmlformats.org/officeDocument/2006/relationships/chart" Target="/xl/charts/chart67.xml" Id="rId67"/><Relationship Type="http://schemas.openxmlformats.org/officeDocument/2006/relationships/chart" Target="/xl/charts/chart68.xml" Id="rId68"/><Relationship Type="http://schemas.openxmlformats.org/officeDocument/2006/relationships/chart" Target="/xl/charts/chart69.xml" Id="rId69"/><Relationship Type="http://schemas.openxmlformats.org/officeDocument/2006/relationships/chart" Target="/xl/charts/chart70.xml" Id="rId70"/><Relationship Type="http://schemas.openxmlformats.org/officeDocument/2006/relationships/chart" Target="/xl/charts/chart71.xml" Id="rId71"/><Relationship Type="http://schemas.openxmlformats.org/officeDocument/2006/relationships/chart" Target="/xl/charts/chart72.xml" Id="rId72"/><Relationship Type="http://schemas.openxmlformats.org/officeDocument/2006/relationships/chart" Target="/xl/charts/chart73.xml" Id="rId73"/><Relationship Type="http://schemas.openxmlformats.org/officeDocument/2006/relationships/chart" Target="/xl/charts/chart74.xml" Id="rId74"/><Relationship Type="http://schemas.openxmlformats.org/officeDocument/2006/relationships/chart" Target="/xl/charts/chart75.xml" Id="rId75"/><Relationship Type="http://schemas.openxmlformats.org/officeDocument/2006/relationships/chart" Target="/xl/charts/chart76.xml" Id="rId76"/><Relationship Type="http://schemas.openxmlformats.org/officeDocument/2006/relationships/chart" Target="/xl/charts/chart77.xml" Id="rId77"/><Relationship Type="http://schemas.openxmlformats.org/officeDocument/2006/relationships/chart" Target="/xl/charts/chart78.xml" Id="rId78"/><Relationship Type="http://schemas.openxmlformats.org/officeDocument/2006/relationships/chart" Target="/xl/charts/chart79.xml" Id="rId79"/><Relationship Type="http://schemas.openxmlformats.org/officeDocument/2006/relationships/chart" Target="/xl/charts/chart80.xml" Id="rId80"/><Relationship Type="http://schemas.openxmlformats.org/officeDocument/2006/relationships/chart" Target="/xl/charts/chart81.xml" Id="rId81"/><Relationship Type="http://schemas.openxmlformats.org/officeDocument/2006/relationships/chart" Target="/xl/charts/chart82.xml" Id="rId82"/><Relationship Type="http://schemas.openxmlformats.org/officeDocument/2006/relationships/chart" Target="/xl/charts/chart83.xml" Id="rId83"/><Relationship Type="http://schemas.openxmlformats.org/officeDocument/2006/relationships/chart" Target="/xl/charts/chart84.xml" Id="rId84"/><Relationship Type="http://schemas.openxmlformats.org/officeDocument/2006/relationships/chart" Target="/xl/charts/chart85.xml" Id="rId85"/><Relationship Type="http://schemas.openxmlformats.org/officeDocument/2006/relationships/chart" Target="/xl/charts/chart86.xml" Id="rId86"/><Relationship Type="http://schemas.openxmlformats.org/officeDocument/2006/relationships/chart" Target="/xl/charts/chart87.xml" Id="rId87"/><Relationship Type="http://schemas.openxmlformats.org/officeDocument/2006/relationships/chart" Target="/xl/charts/chart88.xml" Id="rId88"/><Relationship Type="http://schemas.openxmlformats.org/officeDocument/2006/relationships/chart" Target="/xl/charts/chart89.xml" Id="rId89"/><Relationship Type="http://schemas.openxmlformats.org/officeDocument/2006/relationships/chart" Target="/xl/charts/chart90.xml" Id="rId90"/><Relationship Type="http://schemas.openxmlformats.org/officeDocument/2006/relationships/chart" Target="/xl/charts/chart91.xml" Id="rId91"/><Relationship Type="http://schemas.openxmlformats.org/officeDocument/2006/relationships/chart" Target="/xl/charts/chart92.xml" Id="rId92"/><Relationship Type="http://schemas.openxmlformats.org/officeDocument/2006/relationships/chart" Target="/xl/charts/chart93.xml" Id="rId93"/><Relationship Type="http://schemas.openxmlformats.org/officeDocument/2006/relationships/chart" Target="/xl/charts/chart94.xml" Id="rId94"/><Relationship Type="http://schemas.openxmlformats.org/officeDocument/2006/relationships/chart" Target="/xl/charts/chart95.xml" Id="rId95"/><Relationship Type="http://schemas.openxmlformats.org/officeDocument/2006/relationships/chart" Target="/xl/charts/chart96.xml" Id="rId96"/><Relationship Type="http://schemas.openxmlformats.org/officeDocument/2006/relationships/chart" Target="/xl/charts/chart97.xml" Id="rId97"/><Relationship Type="http://schemas.openxmlformats.org/officeDocument/2006/relationships/chart" Target="/xl/charts/chart98.xml" Id="rId98"/><Relationship Type="http://schemas.openxmlformats.org/officeDocument/2006/relationships/chart" Target="/xl/charts/chart99.xml" Id="rId99"/><Relationship Type="http://schemas.openxmlformats.org/officeDocument/2006/relationships/chart" Target="/xl/charts/chart100.xml" Id="rId100"/><Relationship Type="http://schemas.openxmlformats.org/officeDocument/2006/relationships/chart" Target="/xl/charts/chart101.xml" Id="rId101"/><Relationship Type="http://schemas.openxmlformats.org/officeDocument/2006/relationships/chart" Target="/xl/charts/chart102.xml" Id="rId102"/></Relationships>
</file>

<file path=xl/drawings/drawing1.xml><?xml version="1.0" encoding="utf-8"?>
<wsDr xmlns="http://schemas.openxmlformats.org/drawingml/2006/spreadsheetDrawing">
  <twoCellAnchor>
    <from>
      <col>0</col>
      <colOff>0</colOff>
      <row>0</row>
      <rowOff>1</rowOff>
    </from>
    <to>
      <col>13</col>
      <colOff>609599</colOff>
      <row>30</row>
      <rowOff>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30</row>
      <rowOff>28575</rowOff>
    </from>
    <to>
      <col>13</col>
      <colOff>590550</colOff>
      <row>59</row>
      <rowOff>180974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25400</colOff>
      <row>87</row>
      <rowOff>76200</rowOff>
    </from>
    <to>
      <col>13</col>
      <colOff>596900</colOff>
      <row>110</row>
      <rowOff>123826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0</colOff>
      <row>110</row>
      <rowOff>0</rowOff>
    </from>
    <to>
      <col>13</col>
      <colOff>571500</colOff>
      <row>133</row>
      <rowOff>47626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0</col>
      <colOff>0</colOff>
      <row>134</row>
      <rowOff>0</rowOff>
    </from>
    <to>
      <col>13</col>
      <colOff>571500</colOff>
      <row>157</row>
      <rowOff>47626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0</col>
      <colOff>38100</colOff>
      <row>158</row>
      <rowOff>28575</rowOff>
    </from>
    <to>
      <col>14</col>
      <colOff>0</colOff>
      <row>181</row>
      <rowOff>76201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0</col>
      <colOff>0</colOff>
      <row>182</row>
      <rowOff>0</rowOff>
    </from>
    <to>
      <col>13</col>
      <colOff>571500</colOff>
      <row>205</row>
      <rowOff>47626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0</col>
      <colOff>0</colOff>
      <row>206</row>
      <rowOff>0</rowOff>
    </from>
    <to>
      <col>13</col>
      <colOff>571500</colOff>
      <row>229</row>
      <rowOff>47626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0</col>
      <colOff>0</colOff>
      <row>230</row>
      <rowOff>0</rowOff>
    </from>
    <to>
      <col>13</col>
      <colOff>571500</colOff>
      <row>253</row>
      <rowOff>47626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0</colOff>
      <row>254</row>
      <rowOff>0</rowOff>
    </from>
    <to>
      <col>13</col>
      <colOff>571500</colOff>
      <row>277</row>
      <rowOff>47626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0</col>
      <colOff>0</colOff>
      <row>278</row>
      <rowOff>0</rowOff>
    </from>
    <to>
      <col>13</col>
      <colOff>571500</colOff>
      <row>301</row>
      <rowOff>47626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0</col>
      <colOff>0</colOff>
      <row>302</row>
      <rowOff>0</rowOff>
    </from>
    <to>
      <col>13</col>
      <colOff>571500</colOff>
      <row>325</row>
      <rowOff>47626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0</col>
      <colOff>0</colOff>
      <row>326</row>
      <rowOff>0</rowOff>
    </from>
    <to>
      <col>13</col>
      <colOff>571500</colOff>
      <row>349</row>
      <rowOff>47626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0</colOff>
      <row>350</row>
      <rowOff>0</rowOff>
    </from>
    <to>
      <col>13</col>
      <colOff>571500</colOff>
      <row>373</row>
      <rowOff>47626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0</col>
      <colOff>0</colOff>
      <row>374</row>
      <rowOff>0</rowOff>
    </from>
    <to>
      <col>13</col>
      <colOff>571500</colOff>
      <row>397</row>
      <rowOff>47626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0</colOff>
      <row>398</row>
      <rowOff>0</rowOff>
    </from>
    <to>
      <col>13</col>
      <colOff>571500</colOff>
      <row>421</row>
      <rowOff>47626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0</col>
      <colOff>0</colOff>
      <row>422</row>
      <rowOff>0</rowOff>
    </from>
    <to>
      <col>13</col>
      <colOff>571500</colOff>
      <row>445</row>
      <rowOff>47626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0</col>
      <colOff>0</colOff>
      <row>446</row>
      <rowOff>0</rowOff>
    </from>
    <to>
      <col>13</col>
      <colOff>571500</colOff>
      <row>469</row>
      <rowOff>47626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0</col>
      <colOff>0</colOff>
      <row>470</row>
      <rowOff>0</rowOff>
    </from>
    <to>
      <col>13</col>
      <colOff>571500</colOff>
      <row>493</row>
      <rowOff>47626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0</colOff>
      <row>494</row>
      <rowOff>0</rowOff>
    </from>
    <to>
      <col>13</col>
      <colOff>571500</colOff>
      <row>517</row>
      <rowOff>47626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0</col>
      <colOff>0</colOff>
      <row>518</row>
      <rowOff>0</rowOff>
    </from>
    <to>
      <col>13</col>
      <colOff>571500</colOff>
      <row>541</row>
      <rowOff>47626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0</col>
      <colOff>38100</colOff>
      <row>542</row>
      <rowOff>76200</rowOff>
    </from>
    <to>
      <col>14</col>
      <colOff>0</colOff>
      <row>565</row>
      <rowOff>123826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  <twoCellAnchor>
    <from>
      <col>0</col>
      <colOff>0</colOff>
      <row>566</row>
      <rowOff>0</rowOff>
    </from>
    <to>
      <col>13</col>
      <colOff>571500</colOff>
      <row>589</row>
      <rowOff>47626</rowOff>
    </to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twoCellAnchor>
  <twoCellAnchor>
    <from>
      <col>0</col>
      <colOff>0</colOff>
      <row>590</row>
      <rowOff>0</rowOff>
    </from>
    <to>
      <col>13</col>
      <colOff>571500</colOff>
      <row>613</row>
      <rowOff>47626</rowOff>
    </to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/>
  </twoCellAnchor>
  <twoCellAnchor>
    <from>
      <col>0</col>
      <colOff>0</colOff>
      <row>614</row>
      <rowOff>0</rowOff>
    </from>
    <to>
      <col>13</col>
      <colOff>571500</colOff>
      <row>637</row>
      <rowOff>47626</rowOff>
    </to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/>
  </twoCellAnchor>
  <twoCellAnchor>
    <from>
      <col>0</col>
      <colOff>0</colOff>
      <row>638</row>
      <rowOff>0</rowOff>
    </from>
    <to>
      <col>13</col>
      <colOff>571500</colOff>
      <row>661</row>
      <rowOff>47626</rowOff>
    </to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/>
  </twoCellAnchor>
  <twoCellAnchor>
    <from>
      <col>0</col>
      <colOff>0</colOff>
      <row>662</row>
      <rowOff>0</rowOff>
    </from>
    <to>
      <col>13</col>
      <colOff>571500</colOff>
      <row>685</row>
      <rowOff>47626</rowOff>
    </to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/>
  </twoCellAnchor>
  <twoCellAnchor>
    <from>
      <col>0</col>
      <colOff>0</colOff>
      <row>686</row>
      <rowOff>0</rowOff>
    </from>
    <to>
      <col>13</col>
      <colOff>571500</colOff>
      <row>709</row>
      <rowOff>47626</rowOff>
    </to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/>
  </twoCellAnchor>
  <twoCellAnchor>
    <from>
      <col>0</col>
      <colOff>0</colOff>
      <row>710</row>
      <rowOff>0</rowOff>
    </from>
    <to>
      <col>13</col>
      <colOff>571500</colOff>
      <row>733</row>
      <rowOff>47626</rowOff>
    </to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/>
  </twoCellAnchor>
  <twoCellAnchor>
    <from>
      <col>0</col>
      <colOff>0</colOff>
      <row>734</row>
      <rowOff>0</rowOff>
    </from>
    <to>
      <col>13</col>
      <colOff>571500</colOff>
      <row>757</row>
      <rowOff>47626</rowOff>
    </to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/>
  </twoCellAnchor>
  <twoCellAnchor>
    <from>
      <col>0</col>
      <colOff>0</colOff>
      <row>758</row>
      <rowOff>0</rowOff>
    </from>
    <to>
      <col>13</col>
      <colOff>571500</colOff>
      <row>781</row>
      <rowOff>47626</rowOff>
    </to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/>
  </twoCellAnchor>
  <twoCellAnchor>
    <from>
      <col>0</col>
      <colOff>0</colOff>
      <row>782</row>
      <rowOff>0</rowOff>
    </from>
    <to>
      <col>13</col>
      <colOff>571500</colOff>
      <row>805</row>
      <rowOff>47626</rowOff>
    </to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/>
  </twoCellAnchor>
  <twoCellAnchor>
    <from>
      <col>0</col>
      <colOff>0</colOff>
      <row>806</row>
      <rowOff>0</rowOff>
    </from>
    <to>
      <col>13</col>
      <colOff>571500</colOff>
      <row>829</row>
      <rowOff>47626</rowOff>
    </to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/>
  </twoCellAnchor>
  <twoCellAnchor>
    <from>
      <col>0</col>
      <colOff>0</colOff>
      <row>830</row>
      <rowOff>0</rowOff>
    </from>
    <to>
      <col>13</col>
      <colOff>571500</colOff>
      <row>853</row>
      <rowOff>47626</rowOff>
    </to>
    <graphicFrame>
      <nvGraphicFramePr>
        <cNvPr id="34" name="Chart 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graphicFrame>
    <clientData/>
  </twoCellAnchor>
  <twoCellAnchor>
    <from>
      <col>0</col>
      <colOff>0</colOff>
      <row>854</row>
      <rowOff>0</rowOff>
    </from>
    <to>
      <col>13</col>
      <colOff>571500</colOff>
      <row>877</row>
      <rowOff>47626</rowOff>
    </to>
    <graphicFrame>
      <nvGraphicFramePr>
        <cNvPr id="35" name="Chart 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graphicFrame>
    <clientData/>
  </twoCellAnchor>
  <twoCellAnchor>
    <from>
      <col>0</col>
      <colOff>0</colOff>
      <row>878</row>
      <rowOff>0</rowOff>
    </from>
    <to>
      <col>13</col>
      <colOff>571500</colOff>
      <row>901</row>
      <rowOff>47626</rowOff>
    </to>
    <graphicFrame>
      <nvGraphicFramePr>
        <cNvPr id="36" name="Chart 3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graphicFrame>
    <clientData/>
  </twoCellAnchor>
  <twoCellAnchor>
    <from>
      <col>0</col>
      <colOff>0</colOff>
      <row>902</row>
      <rowOff>0</rowOff>
    </from>
    <to>
      <col>13</col>
      <colOff>571500</colOff>
      <row>925</row>
      <rowOff>47626</rowOff>
    </to>
    <graphicFrame>
      <nvGraphicFramePr>
        <cNvPr id="37" name="Chart 3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graphicFrame>
    <clientData/>
  </twoCellAnchor>
  <twoCellAnchor>
    <from>
      <col>0</col>
      <colOff>0</colOff>
      <row>926</row>
      <rowOff>0</rowOff>
    </from>
    <to>
      <col>13</col>
      <colOff>571500</colOff>
      <row>949</row>
      <rowOff>47626</rowOff>
    </to>
    <graphicFrame>
      <nvGraphicFramePr>
        <cNvPr id="38" name="Chart 3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graphicFrame>
    <clientData/>
  </twoCellAnchor>
  <twoCellAnchor>
    <from>
      <col>0</col>
      <colOff>0</colOff>
      <row>950</row>
      <rowOff>0</rowOff>
    </from>
    <to>
      <col>13</col>
      <colOff>571500</colOff>
      <row>973</row>
      <rowOff>47626</rowOff>
    </to>
    <graphicFrame>
      <nvGraphicFramePr>
        <cNvPr id="39" name="Chart 3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graphicFrame>
    <clientData/>
  </twoCellAnchor>
  <twoCellAnchor>
    <from>
      <col>0</col>
      <colOff>0</colOff>
      <row>974</row>
      <rowOff>0</rowOff>
    </from>
    <to>
      <col>13</col>
      <colOff>571500</colOff>
      <row>997</row>
      <rowOff>47626</rowOff>
    </to>
    <graphicFrame>
      <nvGraphicFramePr>
        <cNvPr id="40" name="Chart 4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graphicFrame>
    <clientData/>
  </twoCellAnchor>
  <twoCellAnchor>
    <from>
      <col>0</col>
      <colOff>0</colOff>
      <row>998</row>
      <rowOff>0</rowOff>
    </from>
    <to>
      <col>13</col>
      <colOff>571500</colOff>
      <row>1021</row>
      <rowOff>47626</rowOff>
    </to>
    <graphicFrame>
      <nvGraphicFramePr>
        <cNvPr id="41" name="Chart 4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graphicFrame>
    <clientData/>
  </twoCellAnchor>
  <twoCellAnchor>
    <from>
      <col>0</col>
      <colOff>0</colOff>
      <row>1022</row>
      <rowOff>0</rowOff>
    </from>
    <to>
      <col>13</col>
      <colOff>571500</colOff>
      <row>1045</row>
      <rowOff>47626</rowOff>
    </to>
    <graphicFrame>
      <nvGraphicFramePr>
        <cNvPr id="42" name="Chart 4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graphicFrame>
    <clientData/>
  </twoCellAnchor>
  <twoCellAnchor>
    <from>
      <col>0</col>
      <colOff>0</colOff>
      <row>1046</row>
      <rowOff>0</rowOff>
    </from>
    <to>
      <col>13</col>
      <colOff>571500</colOff>
      <row>1069</row>
      <rowOff>47626</rowOff>
    </to>
    <graphicFrame>
      <nvGraphicFramePr>
        <cNvPr id="43" name="Chart 4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graphicFrame>
    <clientData/>
  </twoCellAnchor>
  <twoCellAnchor>
    <from>
      <col>0</col>
      <colOff>0</colOff>
      <row>1070</row>
      <rowOff>0</rowOff>
    </from>
    <to>
      <col>13</col>
      <colOff>571500</colOff>
      <row>1093</row>
      <rowOff>47626</rowOff>
    </to>
    <graphicFrame>
      <nvGraphicFramePr>
        <cNvPr id="44" name="Chart 4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graphicFrame>
    <clientData/>
  </twoCellAnchor>
  <twoCellAnchor>
    <from>
      <col>0</col>
      <colOff>0</colOff>
      <row>1094</row>
      <rowOff>0</rowOff>
    </from>
    <to>
      <col>13</col>
      <colOff>571500</colOff>
      <row>1117</row>
      <rowOff>47626</rowOff>
    </to>
    <graphicFrame>
      <nvGraphicFramePr>
        <cNvPr id="45" name="Chart 4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graphicFrame>
    <clientData/>
  </twoCellAnchor>
  <twoCellAnchor>
    <from>
      <col>0</col>
      <colOff>0</colOff>
      <row>1118</row>
      <rowOff>0</rowOff>
    </from>
    <to>
      <col>13</col>
      <colOff>571500</colOff>
      <row>1141</row>
      <rowOff>47626</rowOff>
    </to>
    <graphicFrame>
      <nvGraphicFramePr>
        <cNvPr id="46" name="Chart 4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graphicFrame>
    <clientData/>
  </twoCellAnchor>
  <twoCellAnchor>
    <from>
      <col>0</col>
      <colOff>0</colOff>
      <row>1142</row>
      <rowOff>0</rowOff>
    </from>
    <to>
      <col>13</col>
      <colOff>571500</colOff>
      <row>1165</row>
      <rowOff>47626</rowOff>
    </to>
    <graphicFrame>
      <nvGraphicFramePr>
        <cNvPr id="47" name="Chart 4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graphicFrame>
    <clientData/>
  </twoCellAnchor>
  <twoCellAnchor>
    <from>
      <col>0</col>
      <colOff>0</colOff>
      <row>1166</row>
      <rowOff>0</rowOff>
    </from>
    <to>
      <col>13</col>
      <colOff>571500</colOff>
      <row>1189</row>
      <rowOff>47626</rowOff>
    </to>
    <graphicFrame>
      <nvGraphicFramePr>
        <cNvPr id="48" name="Chart 4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graphicFrame>
    <clientData/>
  </twoCellAnchor>
  <twoCellAnchor>
    <from>
      <col>0</col>
      <colOff>0</colOff>
      <row>1190</row>
      <rowOff>0</rowOff>
    </from>
    <to>
      <col>13</col>
      <colOff>571500</colOff>
      <row>1213</row>
      <rowOff>47626</rowOff>
    </to>
    <graphicFrame>
      <nvGraphicFramePr>
        <cNvPr id="49" name="Chart 4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graphicFrame>
    <clientData/>
  </twoCellAnchor>
  <twoCellAnchor>
    <from>
      <col>0</col>
      <colOff>0</colOff>
      <row>1214</row>
      <rowOff>0</rowOff>
    </from>
    <to>
      <col>13</col>
      <colOff>571500</colOff>
      <row>1237</row>
      <rowOff>47626</rowOff>
    </to>
    <graphicFrame>
      <nvGraphicFramePr>
        <cNvPr id="50" name="Chart 5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graphicFrame>
    <clientData/>
  </twoCellAnchor>
  <twoCellAnchor>
    <from>
      <col>0</col>
      <colOff>0</colOff>
      <row>1238</row>
      <rowOff>0</rowOff>
    </from>
    <to>
      <col>13</col>
      <colOff>571500</colOff>
      <row>1261</row>
      <rowOff>47626</rowOff>
    </to>
    <graphicFrame>
      <nvGraphicFramePr>
        <cNvPr id="51" name="Chart 5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graphicFrame>
    <clientData/>
  </twoCellAnchor>
  <twoCellAnchor>
    <from>
      <col>0</col>
      <colOff>129540</colOff>
      <row>60</row>
      <rowOff>96520</rowOff>
    </from>
    <to>
      <col>14</col>
      <colOff>91440</colOff>
      <row>83</row>
      <rowOff>136526</rowOff>
    </to>
    <graphicFrame>
      <nvGraphicFramePr>
        <cNvPr id="52" name="Chart 5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graphicFrame>
    <clientData/>
  </twoCellAnchor>
  <twoCellAnchor>
    <from>
      <col>14</col>
      <colOff>76200</colOff>
      <row>61</row>
      <rowOff>101600</rowOff>
    </from>
    <to>
      <col>18</col>
      <colOff>381000</colOff>
      <row>84</row>
      <rowOff>149225</rowOff>
    </to>
    <graphicFrame>
      <nvGraphicFramePr>
        <cNvPr id="53" name="Chart 5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graphicFrame>
    <clientData/>
  </twoCellAnchor>
  <twoCellAnchor>
    <from>
      <col>14</col>
      <colOff>76200</colOff>
      <row>87</row>
      <rowOff>76200</rowOff>
    </from>
    <to>
      <col>18</col>
      <colOff>381000</colOff>
      <row>110</row>
      <rowOff>123825</rowOff>
    </to>
    <graphicFrame>
      <nvGraphicFramePr>
        <cNvPr id="54" name="Chart 5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graphicFrame>
    <clientData/>
  </twoCellAnchor>
  <twoCellAnchor>
    <from>
      <col>14</col>
      <colOff>0</colOff>
      <row>110</row>
      <rowOff>0</rowOff>
    </from>
    <to>
      <col>18</col>
      <colOff>304800</colOff>
      <row>133</row>
      <rowOff>47625</rowOff>
    </to>
    <graphicFrame>
      <nvGraphicFramePr>
        <cNvPr id="55" name="Chart 5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graphicFrame>
    <clientData/>
  </twoCellAnchor>
  <twoCellAnchor>
    <from>
      <col>14</col>
      <colOff>0</colOff>
      <row>134</row>
      <rowOff>0</rowOff>
    </from>
    <to>
      <col>18</col>
      <colOff>304800</colOff>
      <row>157</row>
      <rowOff>47625</rowOff>
    </to>
    <graphicFrame>
      <nvGraphicFramePr>
        <cNvPr id="56" name="Chart 5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graphicFrame>
    <clientData/>
  </twoCellAnchor>
  <twoCellAnchor>
    <from>
      <col>14</col>
      <colOff>0</colOff>
      <row>158</row>
      <rowOff>0</rowOff>
    </from>
    <to>
      <col>18</col>
      <colOff>304800</colOff>
      <row>181</row>
      <rowOff>47625</rowOff>
    </to>
    <graphicFrame>
      <nvGraphicFramePr>
        <cNvPr id="57" name="Chart 5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graphicFrame>
    <clientData/>
  </twoCellAnchor>
  <twoCellAnchor>
    <from>
      <col>14</col>
      <colOff>0</colOff>
      <row>182</row>
      <rowOff>0</rowOff>
    </from>
    <to>
      <col>18</col>
      <colOff>304800</colOff>
      <row>205</row>
      <rowOff>47625</rowOff>
    </to>
    <graphicFrame>
      <nvGraphicFramePr>
        <cNvPr id="58" name="Chart 5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graphicFrame>
    <clientData/>
  </twoCellAnchor>
  <twoCellAnchor>
    <from>
      <col>14</col>
      <colOff>0</colOff>
      <row>206</row>
      <rowOff>0</rowOff>
    </from>
    <to>
      <col>18</col>
      <colOff>304800</colOff>
      <row>229</row>
      <rowOff>47625</rowOff>
    </to>
    <graphicFrame>
      <nvGraphicFramePr>
        <cNvPr id="59" name="Chart 5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graphicFrame>
    <clientData/>
  </twoCellAnchor>
  <twoCellAnchor>
    <from>
      <col>14</col>
      <colOff>0</colOff>
      <row>230</row>
      <rowOff>0</rowOff>
    </from>
    <to>
      <col>18</col>
      <colOff>304800</colOff>
      <row>253</row>
      <rowOff>47625</rowOff>
    </to>
    <graphicFrame>
      <nvGraphicFramePr>
        <cNvPr id="60" name="Chart 6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graphicFrame>
    <clientData/>
  </twoCellAnchor>
  <twoCellAnchor>
    <from>
      <col>14</col>
      <colOff>0</colOff>
      <row>254</row>
      <rowOff>0</rowOff>
    </from>
    <to>
      <col>18</col>
      <colOff>304800</colOff>
      <row>277</row>
      <rowOff>47625</rowOff>
    </to>
    <graphicFrame>
      <nvGraphicFramePr>
        <cNvPr id="61" name="Chart 6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graphicFrame>
    <clientData/>
  </twoCellAnchor>
  <twoCellAnchor>
    <from>
      <col>14</col>
      <colOff>0</colOff>
      <row>278</row>
      <rowOff>0</rowOff>
    </from>
    <to>
      <col>18</col>
      <colOff>304800</colOff>
      <row>301</row>
      <rowOff>47625</rowOff>
    </to>
    <graphicFrame>
      <nvGraphicFramePr>
        <cNvPr id="62" name="Chart 6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graphicFrame>
    <clientData/>
  </twoCellAnchor>
  <twoCellAnchor>
    <from>
      <col>14</col>
      <colOff>0</colOff>
      <row>302</row>
      <rowOff>0</rowOff>
    </from>
    <to>
      <col>18</col>
      <colOff>304800</colOff>
      <row>325</row>
      <rowOff>47625</rowOff>
    </to>
    <graphicFrame>
      <nvGraphicFramePr>
        <cNvPr id="63" name="Chart 6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graphicFrame>
    <clientData/>
  </twoCellAnchor>
  <twoCellAnchor>
    <from>
      <col>14</col>
      <colOff>0</colOff>
      <row>326</row>
      <rowOff>0</rowOff>
    </from>
    <to>
      <col>18</col>
      <colOff>304800</colOff>
      <row>349</row>
      <rowOff>47625</rowOff>
    </to>
    <graphicFrame>
      <nvGraphicFramePr>
        <cNvPr id="64" name="Chart 6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graphicFrame>
    <clientData/>
  </twoCellAnchor>
  <twoCellAnchor>
    <from>
      <col>14</col>
      <colOff>0</colOff>
      <row>350</row>
      <rowOff>0</rowOff>
    </from>
    <to>
      <col>18</col>
      <colOff>304800</colOff>
      <row>373</row>
      <rowOff>47625</rowOff>
    </to>
    <graphicFrame>
      <nvGraphicFramePr>
        <cNvPr id="65" name="Chart 6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graphicFrame>
    <clientData/>
  </twoCellAnchor>
  <twoCellAnchor>
    <from>
      <col>14</col>
      <colOff>0</colOff>
      <row>374</row>
      <rowOff>0</rowOff>
    </from>
    <to>
      <col>18</col>
      <colOff>304800</colOff>
      <row>397</row>
      <rowOff>47625</rowOff>
    </to>
    <graphicFrame>
      <nvGraphicFramePr>
        <cNvPr id="66" name="Chart 6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graphicFrame>
    <clientData/>
  </twoCellAnchor>
  <twoCellAnchor>
    <from>
      <col>14</col>
      <colOff>76200</colOff>
      <row>397</row>
      <rowOff>180975</rowOff>
    </from>
    <to>
      <col>18</col>
      <colOff>381000</colOff>
      <row>421</row>
      <rowOff>38100</rowOff>
    </to>
    <graphicFrame>
      <nvGraphicFramePr>
        <cNvPr id="67" name="Chart 6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graphicFrame>
    <clientData/>
  </twoCellAnchor>
  <twoCellAnchor>
    <from>
      <col>14</col>
      <colOff>0</colOff>
      <row>422</row>
      <rowOff>0</rowOff>
    </from>
    <to>
      <col>18</col>
      <colOff>304800</colOff>
      <row>445</row>
      <rowOff>47625</rowOff>
    </to>
    <graphicFrame>
      <nvGraphicFramePr>
        <cNvPr id="68" name="Chart 6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graphicFrame>
    <clientData/>
  </twoCellAnchor>
  <twoCellAnchor>
    <from>
      <col>14</col>
      <colOff>0</colOff>
      <row>446</row>
      <rowOff>0</rowOff>
    </from>
    <to>
      <col>18</col>
      <colOff>304800</colOff>
      <row>469</row>
      <rowOff>47625</rowOff>
    </to>
    <graphicFrame>
      <nvGraphicFramePr>
        <cNvPr id="69" name="Chart 6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graphicFrame>
    <clientData/>
  </twoCellAnchor>
  <twoCellAnchor>
    <from>
      <col>14</col>
      <colOff>0</colOff>
      <row>470</row>
      <rowOff>0</rowOff>
    </from>
    <to>
      <col>18</col>
      <colOff>304800</colOff>
      <row>493</row>
      <rowOff>47625</rowOff>
    </to>
    <graphicFrame>
      <nvGraphicFramePr>
        <cNvPr id="70" name="Chart 7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graphicFrame>
    <clientData/>
  </twoCellAnchor>
  <twoCellAnchor>
    <from>
      <col>14</col>
      <colOff>0</colOff>
      <row>494</row>
      <rowOff>0</rowOff>
    </from>
    <to>
      <col>18</col>
      <colOff>304800</colOff>
      <row>517</row>
      <rowOff>47625</rowOff>
    </to>
    <graphicFrame>
      <nvGraphicFramePr>
        <cNvPr id="71" name="Chart 7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graphicFrame>
    <clientData/>
  </twoCellAnchor>
  <twoCellAnchor>
    <from>
      <col>14</col>
      <colOff>0</colOff>
      <row>518</row>
      <rowOff>0</rowOff>
    </from>
    <to>
      <col>18</col>
      <colOff>304800</colOff>
      <row>541</row>
      <rowOff>47625</rowOff>
    </to>
    <graphicFrame>
      <nvGraphicFramePr>
        <cNvPr id="72" name="Chart 7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graphicFrame>
    <clientData/>
  </twoCellAnchor>
  <twoCellAnchor>
    <from>
      <col>14</col>
      <colOff>0</colOff>
      <row>542</row>
      <rowOff>0</rowOff>
    </from>
    <to>
      <col>18</col>
      <colOff>304800</colOff>
      <row>565</row>
      <rowOff>47625</rowOff>
    </to>
    <graphicFrame>
      <nvGraphicFramePr>
        <cNvPr id="73" name="Chart 7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graphicFrame>
    <clientData/>
  </twoCellAnchor>
  <twoCellAnchor>
    <from>
      <col>14</col>
      <colOff>0</colOff>
      <row>566</row>
      <rowOff>0</rowOff>
    </from>
    <to>
      <col>18</col>
      <colOff>304800</colOff>
      <row>589</row>
      <rowOff>47625</rowOff>
    </to>
    <graphicFrame>
      <nvGraphicFramePr>
        <cNvPr id="74" name="Chart 7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graphicFrame>
    <clientData/>
  </twoCellAnchor>
  <twoCellAnchor>
    <from>
      <col>14</col>
      <colOff>0</colOff>
      <row>590</row>
      <rowOff>0</rowOff>
    </from>
    <to>
      <col>18</col>
      <colOff>304800</colOff>
      <row>613</row>
      <rowOff>47625</rowOff>
    </to>
    <graphicFrame>
      <nvGraphicFramePr>
        <cNvPr id="75" name="Chart 7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graphicFrame>
    <clientData/>
  </twoCellAnchor>
  <twoCellAnchor>
    <from>
      <col>14</col>
      <colOff>0</colOff>
      <row>614</row>
      <rowOff>0</rowOff>
    </from>
    <to>
      <col>18</col>
      <colOff>304800</colOff>
      <row>637</row>
      <rowOff>47625</rowOff>
    </to>
    <graphicFrame>
      <nvGraphicFramePr>
        <cNvPr id="76" name="Chart 7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graphicFrame>
    <clientData/>
  </twoCellAnchor>
  <twoCellAnchor>
    <from>
      <col>14</col>
      <colOff>0</colOff>
      <row>638</row>
      <rowOff>0</rowOff>
    </from>
    <to>
      <col>18</col>
      <colOff>304800</colOff>
      <row>661</row>
      <rowOff>47625</rowOff>
    </to>
    <graphicFrame>
      <nvGraphicFramePr>
        <cNvPr id="77" name="Chart 7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graphicFrame>
    <clientData/>
  </twoCellAnchor>
  <twoCellAnchor>
    <from>
      <col>14</col>
      <colOff>0</colOff>
      <row>662</row>
      <rowOff>0</rowOff>
    </from>
    <to>
      <col>18</col>
      <colOff>304800</colOff>
      <row>685</row>
      <rowOff>47625</rowOff>
    </to>
    <graphicFrame>
      <nvGraphicFramePr>
        <cNvPr id="78" name="Chart 7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graphicFrame>
    <clientData/>
  </twoCellAnchor>
  <twoCellAnchor>
    <from>
      <col>14</col>
      <colOff>0</colOff>
      <row>686</row>
      <rowOff>0</rowOff>
    </from>
    <to>
      <col>18</col>
      <colOff>304800</colOff>
      <row>709</row>
      <rowOff>47625</rowOff>
    </to>
    <graphicFrame>
      <nvGraphicFramePr>
        <cNvPr id="79" name="Chart 7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graphicFrame>
    <clientData/>
  </twoCellAnchor>
  <twoCellAnchor>
    <from>
      <col>14</col>
      <colOff>0</colOff>
      <row>710</row>
      <rowOff>0</rowOff>
    </from>
    <to>
      <col>18</col>
      <colOff>304800</colOff>
      <row>733</row>
      <rowOff>47625</rowOff>
    </to>
    <graphicFrame>
      <nvGraphicFramePr>
        <cNvPr id="80" name="Chart 8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graphicFrame>
    <clientData/>
  </twoCellAnchor>
  <twoCellAnchor>
    <from>
      <col>14</col>
      <colOff>0</colOff>
      <row>734</row>
      <rowOff>0</rowOff>
    </from>
    <to>
      <col>18</col>
      <colOff>304800</colOff>
      <row>757</row>
      <rowOff>47625</rowOff>
    </to>
    <graphicFrame>
      <nvGraphicFramePr>
        <cNvPr id="81" name="Chart 8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graphicFrame>
    <clientData/>
  </twoCellAnchor>
  <twoCellAnchor>
    <from>
      <col>14</col>
      <colOff>0</colOff>
      <row>758</row>
      <rowOff>0</rowOff>
    </from>
    <to>
      <col>18</col>
      <colOff>304800</colOff>
      <row>781</row>
      <rowOff>47625</rowOff>
    </to>
    <graphicFrame>
      <nvGraphicFramePr>
        <cNvPr id="82" name="Chart 8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graphicFrame>
    <clientData/>
  </twoCellAnchor>
  <twoCellAnchor>
    <from>
      <col>14</col>
      <colOff>0</colOff>
      <row>782</row>
      <rowOff>0</rowOff>
    </from>
    <to>
      <col>18</col>
      <colOff>304800</colOff>
      <row>805</row>
      <rowOff>47625</rowOff>
    </to>
    <graphicFrame>
      <nvGraphicFramePr>
        <cNvPr id="83" name="Chart 8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3"/>
        </a:graphicData>
      </a:graphic>
    </graphicFrame>
    <clientData/>
  </twoCellAnchor>
  <twoCellAnchor>
    <from>
      <col>14</col>
      <colOff>0</colOff>
      <row>806</row>
      <rowOff>0</rowOff>
    </from>
    <to>
      <col>18</col>
      <colOff>304800</colOff>
      <row>829</row>
      <rowOff>47625</rowOff>
    </to>
    <graphicFrame>
      <nvGraphicFramePr>
        <cNvPr id="84" name="Chart 8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4"/>
        </a:graphicData>
      </a:graphic>
    </graphicFrame>
    <clientData/>
  </twoCellAnchor>
  <twoCellAnchor>
    <from>
      <col>14</col>
      <colOff>0</colOff>
      <row>830</row>
      <rowOff>0</rowOff>
    </from>
    <to>
      <col>18</col>
      <colOff>304800</colOff>
      <row>853</row>
      <rowOff>47625</rowOff>
    </to>
    <graphicFrame>
      <nvGraphicFramePr>
        <cNvPr id="85" name="Chart 8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5"/>
        </a:graphicData>
      </a:graphic>
    </graphicFrame>
    <clientData/>
  </twoCellAnchor>
  <twoCellAnchor>
    <from>
      <col>14</col>
      <colOff>0</colOff>
      <row>854</row>
      <rowOff>0</rowOff>
    </from>
    <to>
      <col>18</col>
      <colOff>304800</colOff>
      <row>877</row>
      <rowOff>47625</rowOff>
    </to>
    <graphicFrame>
      <nvGraphicFramePr>
        <cNvPr id="86" name="Chart 8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6"/>
        </a:graphicData>
      </a:graphic>
    </graphicFrame>
    <clientData/>
  </twoCellAnchor>
  <twoCellAnchor>
    <from>
      <col>14</col>
      <colOff>0</colOff>
      <row>878</row>
      <rowOff>0</rowOff>
    </from>
    <to>
      <col>18</col>
      <colOff>304800</colOff>
      <row>901</row>
      <rowOff>47625</rowOff>
    </to>
    <graphicFrame>
      <nvGraphicFramePr>
        <cNvPr id="87" name="Chart 8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7"/>
        </a:graphicData>
      </a:graphic>
    </graphicFrame>
    <clientData/>
  </twoCellAnchor>
  <twoCellAnchor>
    <from>
      <col>14</col>
      <colOff>0</colOff>
      <row>902</row>
      <rowOff>0</rowOff>
    </from>
    <to>
      <col>18</col>
      <colOff>304800</colOff>
      <row>925</row>
      <rowOff>47625</rowOff>
    </to>
    <graphicFrame>
      <nvGraphicFramePr>
        <cNvPr id="88" name="Chart 8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8"/>
        </a:graphicData>
      </a:graphic>
    </graphicFrame>
    <clientData/>
  </twoCellAnchor>
  <twoCellAnchor>
    <from>
      <col>14</col>
      <colOff>0</colOff>
      <row>926</row>
      <rowOff>0</rowOff>
    </from>
    <to>
      <col>18</col>
      <colOff>304800</colOff>
      <row>949</row>
      <rowOff>47625</rowOff>
    </to>
    <graphicFrame>
      <nvGraphicFramePr>
        <cNvPr id="89" name="Chart 8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9"/>
        </a:graphicData>
      </a:graphic>
    </graphicFrame>
    <clientData/>
  </twoCellAnchor>
  <twoCellAnchor>
    <from>
      <col>14</col>
      <colOff>0</colOff>
      <row>950</row>
      <rowOff>0</rowOff>
    </from>
    <to>
      <col>18</col>
      <colOff>304800</colOff>
      <row>973</row>
      <rowOff>47625</rowOff>
    </to>
    <graphicFrame>
      <nvGraphicFramePr>
        <cNvPr id="90" name="Chart 9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0"/>
        </a:graphicData>
      </a:graphic>
    </graphicFrame>
    <clientData/>
  </twoCellAnchor>
  <twoCellAnchor>
    <from>
      <col>14</col>
      <colOff>0</colOff>
      <row>974</row>
      <rowOff>0</rowOff>
    </from>
    <to>
      <col>18</col>
      <colOff>304800</colOff>
      <row>997</row>
      <rowOff>47625</rowOff>
    </to>
    <graphicFrame>
      <nvGraphicFramePr>
        <cNvPr id="91" name="Chart 9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1"/>
        </a:graphicData>
      </a:graphic>
    </graphicFrame>
    <clientData/>
  </twoCellAnchor>
  <twoCellAnchor>
    <from>
      <col>14</col>
      <colOff>0</colOff>
      <row>998</row>
      <rowOff>0</rowOff>
    </from>
    <to>
      <col>18</col>
      <colOff>304800</colOff>
      <row>1021</row>
      <rowOff>47625</rowOff>
    </to>
    <graphicFrame>
      <nvGraphicFramePr>
        <cNvPr id="92" name="Chart 9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2"/>
        </a:graphicData>
      </a:graphic>
    </graphicFrame>
    <clientData/>
  </twoCellAnchor>
  <twoCellAnchor>
    <from>
      <col>14</col>
      <colOff>28575</colOff>
      <row>1021</row>
      <rowOff>142875</rowOff>
    </from>
    <to>
      <col>18</col>
      <colOff>333375</colOff>
      <row>1045</row>
      <rowOff>0</rowOff>
    </to>
    <graphicFrame>
      <nvGraphicFramePr>
        <cNvPr id="93" name="Chart 9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3"/>
        </a:graphicData>
      </a:graphic>
    </graphicFrame>
    <clientData/>
  </twoCellAnchor>
  <twoCellAnchor>
    <from>
      <col>14</col>
      <colOff>0</colOff>
      <row>1046</row>
      <rowOff>0</rowOff>
    </from>
    <to>
      <col>18</col>
      <colOff>304800</colOff>
      <row>1069</row>
      <rowOff>47625</rowOff>
    </to>
    <graphicFrame>
      <nvGraphicFramePr>
        <cNvPr id="94" name="Chart 9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4"/>
        </a:graphicData>
      </a:graphic>
    </graphicFrame>
    <clientData/>
  </twoCellAnchor>
  <twoCellAnchor>
    <from>
      <col>14</col>
      <colOff>0</colOff>
      <row>1070</row>
      <rowOff>0</rowOff>
    </from>
    <to>
      <col>18</col>
      <colOff>304800</colOff>
      <row>1093</row>
      <rowOff>47625</rowOff>
    </to>
    <graphicFrame>
      <nvGraphicFramePr>
        <cNvPr id="95" name="Chart 9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5"/>
        </a:graphicData>
      </a:graphic>
    </graphicFrame>
    <clientData/>
  </twoCellAnchor>
  <twoCellAnchor>
    <from>
      <col>14</col>
      <colOff>0</colOff>
      <row>1094</row>
      <rowOff>0</rowOff>
    </from>
    <to>
      <col>18</col>
      <colOff>304800</colOff>
      <row>1117</row>
      <rowOff>47625</rowOff>
    </to>
    <graphicFrame>
      <nvGraphicFramePr>
        <cNvPr id="96" name="Chart 9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6"/>
        </a:graphicData>
      </a:graphic>
    </graphicFrame>
    <clientData/>
  </twoCellAnchor>
  <twoCellAnchor>
    <from>
      <col>14</col>
      <colOff>0</colOff>
      <row>1118</row>
      <rowOff>0</rowOff>
    </from>
    <to>
      <col>18</col>
      <colOff>304800</colOff>
      <row>1141</row>
      <rowOff>47625</rowOff>
    </to>
    <graphicFrame>
      <nvGraphicFramePr>
        <cNvPr id="97" name="Chart 9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7"/>
        </a:graphicData>
      </a:graphic>
    </graphicFrame>
    <clientData/>
  </twoCellAnchor>
  <twoCellAnchor>
    <from>
      <col>14</col>
      <colOff>0</colOff>
      <row>1142</row>
      <rowOff>0</rowOff>
    </from>
    <to>
      <col>18</col>
      <colOff>304800</colOff>
      <row>1165</row>
      <rowOff>47625</rowOff>
    </to>
    <graphicFrame>
      <nvGraphicFramePr>
        <cNvPr id="98" name="Chart 9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8"/>
        </a:graphicData>
      </a:graphic>
    </graphicFrame>
    <clientData/>
  </twoCellAnchor>
  <twoCellAnchor>
    <from>
      <col>14</col>
      <colOff>0</colOff>
      <row>1166</row>
      <rowOff>0</rowOff>
    </from>
    <to>
      <col>18</col>
      <colOff>304800</colOff>
      <row>1189</row>
      <rowOff>47625</rowOff>
    </to>
    <graphicFrame>
      <nvGraphicFramePr>
        <cNvPr id="99" name="Chart 9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9"/>
        </a:graphicData>
      </a:graphic>
    </graphicFrame>
    <clientData/>
  </twoCellAnchor>
  <twoCellAnchor>
    <from>
      <col>14</col>
      <colOff>0</colOff>
      <row>1190</row>
      <rowOff>0</rowOff>
    </from>
    <to>
      <col>18</col>
      <colOff>304800</colOff>
      <row>1213</row>
      <rowOff>47625</rowOff>
    </to>
    <graphicFrame>
      <nvGraphicFramePr>
        <cNvPr id="100" name="Chart 10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0"/>
        </a:graphicData>
      </a:graphic>
    </graphicFrame>
    <clientData/>
  </twoCellAnchor>
  <twoCellAnchor>
    <from>
      <col>14</col>
      <colOff>0</colOff>
      <row>1214</row>
      <rowOff>0</rowOff>
    </from>
    <to>
      <col>18</col>
      <colOff>304800</colOff>
      <row>1237</row>
      <rowOff>47625</rowOff>
    </to>
    <graphicFrame>
      <nvGraphicFramePr>
        <cNvPr id="101" name="Chart 10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1"/>
        </a:graphicData>
      </a:graphic>
    </graphicFrame>
    <clientData/>
  </twoCellAnchor>
  <twoCellAnchor>
    <from>
      <col>14</col>
      <colOff>0</colOff>
      <row>1238</row>
      <rowOff>0</rowOff>
    </from>
    <to>
      <col>18</col>
      <colOff>304800</colOff>
      <row>1261</row>
      <rowOff>47625</rowOff>
    </to>
    <graphicFrame>
      <nvGraphicFramePr>
        <cNvPr id="102" name="Chart 10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62:A62"/>
  <sheetViews>
    <sheetView zoomScale="50" zoomScaleNormal="50" workbookViewId="0">
      <selection activeCell="AD38" sqref="AD38"/>
    </sheetView>
  </sheetViews>
  <sheetFormatPr baseColWidth="8" defaultRowHeight="14.4"/>
  <cols>
    <col width="10.88671875" bestFit="1" customWidth="1" min="1" max="1"/>
    <col width="18.88671875" bestFit="1" customWidth="1" min="2" max="2"/>
    <col width="17.33203125" bestFit="1" customWidth="1" min="3" max="3"/>
    <col width="14.5546875" bestFit="1" customWidth="1" min="15" max="15"/>
    <col width="16.5546875" bestFit="1" customWidth="1" min="16" max="16"/>
    <col width="18.44140625" bestFit="1" customWidth="1" min="17" max="17"/>
    <col width="14.44140625" bestFit="1" customWidth="1" min="18" max="18"/>
  </cols>
  <sheetData>
    <row r="62">
      <c r="A62">
        <f>Information!C4-20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Q6"/>
  <sheetViews>
    <sheetView topLeftCell="A3" workbookViewId="0">
      <selection activeCell="Q6" sqref="Q6"/>
    </sheetView>
  </sheetViews>
  <sheetFormatPr baseColWidth="8" defaultRowHeight="14.4"/>
  <cols>
    <col width="10.6640625" bestFit="1" customWidth="1" style="8" min="1" max="1"/>
    <col width="10.44140625" customWidth="1" min="12" max="12"/>
    <col width="9.6640625" bestFit="1" customWidth="1" min="13" max="13"/>
    <col width="10" bestFit="1" customWidth="1" min="15" max="15"/>
    <col width="13.88671875" bestFit="1" customWidth="1" min="16" max="17"/>
  </cols>
  <sheetData>
    <row r="1" ht="15" customHeight="1" thickBot="1">
      <c r="A1" s="31" t="n"/>
      <c r="B1" s="82" t="inlineStr">
        <is>
          <t>Diameter (mm)</t>
        </is>
      </c>
      <c r="C1" s="90" t="n"/>
      <c r="D1" s="90" t="n"/>
      <c r="E1" s="91" t="n"/>
      <c r="F1" s="85" t="inlineStr">
        <is>
          <t>Depths (m)</t>
        </is>
      </c>
      <c r="G1" s="92" t="n"/>
      <c r="H1" s="93" t="inlineStr">
        <is>
          <t xml:space="preserve">Charge Mass (Kg) </t>
        </is>
      </c>
      <c r="I1" s="94" t="n"/>
      <c r="J1" s="94" t="n"/>
      <c r="K1" s="94" t="n"/>
      <c r="L1" s="19" t="n"/>
      <c r="M1" s="82" t="inlineStr">
        <is>
          <t>% variations of kg for diameters</t>
        </is>
      </c>
      <c r="N1" s="90" t="n"/>
      <c r="O1" s="91" t="n"/>
      <c r="P1" s="16" t="inlineStr">
        <is>
          <t>Stemming</t>
        </is>
      </c>
      <c r="Q1" s="17">
        <f>Information!C5</f>
        <v/>
      </c>
    </row>
    <row r="2" ht="43.8" customHeight="1" thickBot="1">
      <c r="A2" s="37" t="inlineStr">
        <is>
          <t>BH No.</t>
        </is>
      </c>
      <c r="B2" s="38" t="inlineStr">
        <is>
          <t>Minimum</t>
        </is>
      </c>
      <c r="C2" s="39" t="inlineStr">
        <is>
          <t>Average</t>
        </is>
      </c>
      <c r="D2" s="39" t="inlineStr">
        <is>
          <t>Maximum</t>
        </is>
      </c>
      <c r="E2" s="41" t="inlineStr">
        <is>
          <t xml:space="preserve"> Planned</t>
        </is>
      </c>
      <c r="F2" s="42" t="inlineStr">
        <is>
          <t xml:space="preserve">From </t>
        </is>
      </c>
      <c r="G2" s="40" t="inlineStr">
        <is>
          <t>to</t>
        </is>
      </c>
      <c r="H2" s="42" t="inlineStr">
        <is>
          <t>Minimum</t>
        </is>
      </c>
      <c r="I2" s="39" t="inlineStr">
        <is>
          <t>Average</t>
        </is>
      </c>
      <c r="J2" s="39" t="inlineStr">
        <is>
          <t>Maximum</t>
        </is>
      </c>
      <c r="K2" s="41" t="inlineStr">
        <is>
          <t>Planned</t>
        </is>
      </c>
      <c r="L2" s="51" t="inlineStr">
        <is>
          <t>Deviation: Ave vs. Plan</t>
        </is>
      </c>
      <c r="M2" s="38" t="inlineStr">
        <is>
          <t>Minimum</t>
        </is>
      </c>
      <c r="N2" s="39" t="inlineStr">
        <is>
          <t>Average</t>
        </is>
      </c>
      <c r="O2" s="40" t="inlineStr">
        <is>
          <t>Maximum</t>
        </is>
      </c>
      <c r="P2" s="95" t="n"/>
      <c r="Q2" s="19" t="n"/>
    </row>
    <row r="3" ht="15" customHeight="1" thickBot="1">
      <c r="A3" s="32" t="inlineStr">
        <is>
          <t>test_hole</t>
        </is>
      </c>
      <c r="B3" s="33">
        <f>MIN(Sheet1!B2:B5000)</f>
        <v/>
      </c>
      <c r="C3" s="34">
        <f>AVERAGE(Sheet1!B2:B5000)</f>
        <v/>
      </c>
      <c r="D3" s="34">
        <f>MAX(Sheet1!B2:B5000)</f>
        <v/>
      </c>
      <c r="E3" s="34">
        <f>Sheet1!G2</f>
        <v/>
      </c>
      <c r="F3" s="34">
        <f>MIN(Sheet1!A2:A5000)</f>
        <v/>
      </c>
      <c r="G3" s="34">
        <f>MAX(Sheet1!A2:A5000)</f>
        <v/>
      </c>
      <c r="H3" s="35">
        <f>((G3-$Q$1)*($Q$3*B3^2))/1273</f>
        <v/>
      </c>
      <c r="I3" s="35">
        <f>((G3-$Q$1)*($Q$3*C3^2))/1273</f>
        <v/>
      </c>
      <c r="J3" s="35">
        <f>((G3-$Q$1)*($Q$3*D3^2))/1273</f>
        <v/>
      </c>
      <c r="K3" s="43">
        <f>((G3-$Q$1)*($Q$3*E3^2))/1273</f>
        <v/>
      </c>
      <c r="L3" s="48">
        <f>I3-K3</f>
        <v/>
      </c>
      <c r="M3" s="45">
        <f>((H3/$K3)*100)-100</f>
        <v/>
      </c>
      <c r="N3" s="35">
        <f>((I3/$K3)*100)-100</f>
        <v/>
      </c>
      <c r="O3" s="36">
        <f>((J3/$K3)*100)-100</f>
        <v/>
      </c>
      <c r="P3" s="16" t="inlineStr">
        <is>
          <t>Inhole density</t>
        </is>
      </c>
      <c r="Q3" s="19">
        <f>Information!C6</f>
        <v/>
      </c>
    </row>
    <row r="4">
      <c r="A4" s="14" t="inlineStr">
        <is>
          <t>Minimum</t>
        </is>
      </c>
      <c r="B4" s="22">
        <f>MIN(B3:B3)</f>
        <v/>
      </c>
      <c r="C4" s="52">
        <f>MIN(C3:C3)</f>
        <v/>
      </c>
      <c r="D4" s="22">
        <f>MIN(D3:D3)</f>
        <v/>
      </c>
      <c r="E4" s="53">
        <f>MIN(E3:E3)</f>
        <v/>
      </c>
      <c r="F4" s="71" t="n"/>
      <c r="G4" s="72">
        <f>MIN(G3:G3)</f>
        <v/>
      </c>
      <c r="H4" s="71">
        <f>MIN(H3:H3)</f>
        <v/>
      </c>
      <c r="I4" s="77" t="n"/>
      <c r="J4" s="77" t="n"/>
      <c r="K4" s="52">
        <f>MIN(K3:K3)</f>
        <v/>
      </c>
      <c r="L4" s="52">
        <f>MIN(L3:L3)</f>
        <v/>
      </c>
      <c r="M4" s="22">
        <f>MIN(M3:M3)</f>
        <v/>
      </c>
      <c r="N4" s="52">
        <f>MIN(N3:N3)</f>
        <v/>
      </c>
      <c r="O4" s="26">
        <f>MIN(O3:O3)</f>
        <v/>
      </c>
      <c r="P4" s="2" t="n"/>
    </row>
    <row r="5">
      <c r="A5" s="15" t="inlineStr">
        <is>
          <t>Average</t>
        </is>
      </c>
      <c r="B5" s="23">
        <f>AVERAGE(B3:B4)</f>
        <v/>
      </c>
      <c r="C5" s="54">
        <f>AVERAGE(C3:C4)</f>
        <v/>
      </c>
      <c r="D5" s="23">
        <f>AVERAGE(D3:D4)</f>
        <v/>
      </c>
      <c r="E5" s="55">
        <f>AVERAGE(E3:E4)</f>
        <v/>
      </c>
      <c r="F5" s="73" t="n"/>
      <c r="G5" s="74">
        <f>AVERAGE(G3:G4)</f>
        <v/>
      </c>
      <c r="H5" s="73" t="n"/>
      <c r="I5" s="78">
        <f>AVERAGE(I3:I4)</f>
        <v/>
      </c>
      <c r="J5" s="78" t="n"/>
      <c r="K5" s="54">
        <f>AVERAGE(K3:K4)</f>
        <v/>
      </c>
      <c r="L5" s="58">
        <f>AVERAGE(L3:L4)</f>
        <v/>
      </c>
      <c r="M5" s="23">
        <f>AVERAGE(M3:M4)</f>
        <v/>
      </c>
      <c r="N5" s="54">
        <f>AVERAGE(N3:N4)</f>
        <v/>
      </c>
      <c r="O5" s="28">
        <f>AVERAGE(O3:O4)</f>
        <v/>
      </c>
      <c r="P5" s="2" t="n"/>
    </row>
    <row r="6">
      <c r="A6" s="69" t="inlineStr">
        <is>
          <t>Maximum</t>
        </is>
      </c>
      <c r="B6" s="24">
        <f>MAX(B3:B5)</f>
        <v/>
      </c>
      <c r="C6" s="56">
        <f>MAX(C3:C5)</f>
        <v/>
      </c>
      <c r="D6" s="24">
        <f>MAX(D3:D5)</f>
        <v/>
      </c>
      <c r="E6" s="57">
        <f>MAX(E3:E5)</f>
        <v/>
      </c>
      <c r="F6" s="75" t="n"/>
      <c r="G6" s="76">
        <f>MAX(G3:G5)</f>
        <v/>
      </c>
      <c r="H6" s="75" t="n"/>
      <c r="I6" s="79" t="n"/>
      <c r="J6" s="79">
        <f>MAX(J3:J5)</f>
        <v/>
      </c>
      <c r="K6" s="56">
        <f>MAX(K3:K5)</f>
        <v/>
      </c>
      <c r="L6" s="25">
        <f>MAX(L3:L5)</f>
        <v/>
      </c>
      <c r="M6" s="24">
        <f>MAX(M3:M5)</f>
        <v/>
      </c>
      <c r="N6" s="56">
        <f>MAX(N3:N5)</f>
        <v/>
      </c>
      <c r="O6" s="27">
        <f>MAX(O3:O5)</f>
        <v/>
      </c>
    </row>
    <row r="52" ht="15" customHeight="1" thickBot="1"/>
    <row r="53" ht="15.6" customHeight="1"/>
    <row r="54" ht="15.6" customHeight="1"/>
    <row r="55" ht="16.2" customHeight="1" thickBot="1"/>
  </sheetData>
  <mergeCells count="5">
    <mergeCell ref="B1:E1"/>
    <mergeCell ref="P2:Q2"/>
    <mergeCell ref="M1:O1"/>
    <mergeCell ref="H1:L1"/>
    <mergeCell ref="F1:G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C8"/>
  <sheetViews>
    <sheetView workbookViewId="0">
      <selection activeCell="H9" sqref="H9"/>
    </sheetView>
  </sheetViews>
  <sheetFormatPr baseColWidth="8" defaultRowHeight="14.4"/>
  <cols>
    <col width="23.77734375" customWidth="1" min="2" max="2"/>
    <col width="19.5546875" customWidth="1" min="3" max="3"/>
  </cols>
  <sheetData>
    <row r="1" ht="21" customHeight="1">
      <c r="A1" s="65" t="inlineStr">
        <is>
          <t>Client:</t>
        </is>
      </c>
      <c r="B1" s="66" t="n"/>
      <c r="C1" s="9" t="inlineStr">
        <is>
          <t>Test Client</t>
        </is>
      </c>
    </row>
    <row r="2" ht="21" customHeight="1">
      <c r="A2" s="67" t="inlineStr">
        <is>
          <t>Mine:</t>
        </is>
      </c>
      <c r="B2" s="68" t="n"/>
      <c r="C2" s="10" t="inlineStr">
        <is>
          <t>Delmas</t>
        </is>
      </c>
    </row>
    <row r="3" ht="21" customHeight="1">
      <c r="A3" s="67" t="inlineStr">
        <is>
          <t>Block:</t>
        </is>
      </c>
      <c r="B3" s="68" t="n"/>
      <c r="C3" s="10" t="inlineStr">
        <is>
          <t>Block-01</t>
        </is>
      </c>
    </row>
    <row r="4" ht="21" customHeight="1">
      <c r="A4" s="59" t="inlineStr">
        <is>
          <t>Hole Diameter:</t>
        </is>
      </c>
      <c r="B4" s="60" t="n"/>
      <c r="C4" s="10" t="n">
        <v>165</v>
      </c>
    </row>
    <row r="5" ht="21" customHeight="1">
      <c r="A5" s="59" t="inlineStr">
        <is>
          <t>Final Stemming:</t>
        </is>
      </c>
      <c r="B5" s="60" t="n"/>
      <c r="C5" s="10" t="n">
        <v>2.5</v>
      </c>
    </row>
    <row r="6" ht="21" customHeight="1">
      <c r="A6" s="63" t="inlineStr">
        <is>
          <t>Average In-hole Density:</t>
        </is>
      </c>
      <c r="B6" s="64" t="n"/>
      <c r="C6" s="10" t="n">
        <v>1.2</v>
      </c>
    </row>
    <row r="7" ht="21" customHeight="1">
      <c r="A7" s="59" t="inlineStr">
        <is>
          <t>Rig Operator:</t>
        </is>
      </c>
      <c r="B7" s="60" t="n"/>
      <c r="C7" s="10" t="inlineStr">
        <is>
          <t>John</t>
        </is>
      </c>
    </row>
    <row r="8" ht="21.6" customHeight="1" thickBot="1">
      <c r="A8" s="61" t="inlineStr">
        <is>
          <t>Date of Calipering:</t>
        </is>
      </c>
      <c r="B8" s="62" t="n"/>
      <c r="C8" s="11" t="inlineStr">
        <is>
          <t>2026-09-10</t>
        </is>
      </c>
    </row>
  </sheetData>
  <pageMargins left="0.7" right="0.7" top="0.75" bottom="0.75" header="0.3" footer="0.3"/>
  <pageSetup orientation="portrait" horizontalDpi="4294967293" verticalDpi="0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N4"/>
  <sheetViews>
    <sheetView tabSelected="1" workbookViewId="0">
      <selection activeCell="A2" sqref="A2"/>
    </sheetView>
  </sheetViews>
  <sheetFormatPr baseColWidth="8" defaultColWidth="9.109375" defaultRowHeight="14.4"/>
  <cols>
    <col width="9.109375" customWidth="1" style="3" min="1" max="6"/>
    <col width="17" bestFit="1" customWidth="1" style="3" min="7" max="7"/>
    <col width="17.33203125" bestFit="1" customWidth="1" style="3" min="8" max="8"/>
    <col width="9.109375" customWidth="1" style="3" min="9" max="16384"/>
  </cols>
  <sheetData>
    <row r="1">
      <c r="A1" s="5" t="inlineStr">
        <is>
          <t>Depth</t>
        </is>
      </c>
      <c r="B1" s="5" t="inlineStr">
        <is>
          <t>x</t>
        </is>
      </c>
      <c r="C1" s="5" t="inlineStr">
        <is>
          <t>Actual+</t>
        </is>
      </c>
      <c r="D1" s="5" t="inlineStr">
        <is>
          <t>Actual-</t>
        </is>
      </c>
      <c r="E1" s="5" t="inlineStr">
        <is>
          <t>Planned+</t>
        </is>
      </c>
      <c r="F1" s="5" t="inlineStr">
        <is>
          <t>Planned-</t>
        </is>
      </c>
      <c r="G1" s="6" t="inlineStr">
        <is>
          <t>Planned diameter</t>
        </is>
      </c>
      <c r="H1" s="5" t="inlineStr">
        <is>
          <t>Actual deviation X</t>
        </is>
      </c>
      <c r="J1" s="5" t="inlineStr">
        <is>
          <t>Hole Number</t>
        </is>
      </c>
      <c r="K1" s="5" t="n"/>
      <c r="L1" s="7" t="inlineStr">
        <is>
          <t>test_hole</t>
        </is>
      </c>
      <c r="M1" s="7">
        <f>Information!C2</f>
        <v/>
      </c>
      <c r="N1" s="5">
        <f>Information!C3</f>
        <v/>
      </c>
    </row>
    <row r="2">
      <c r="A2" s="3" t="n">
        <v>0</v>
      </c>
      <c r="B2" s="3" t="n">
        <v>0</v>
      </c>
      <c r="C2" s="3">
        <f>B2/2</f>
        <v/>
      </c>
      <c r="D2" s="3">
        <f>(B2-(B2*2))/2</f>
        <v/>
      </c>
      <c r="E2" s="3">
        <f>G2/2</f>
        <v/>
      </c>
      <c r="F2" s="3">
        <f>(G2-(G2*2))/2</f>
        <v/>
      </c>
      <c r="G2" s="3">
        <f>Information!C$4</f>
        <v/>
      </c>
      <c r="H2" s="3">
        <f>B2-G2</f>
        <v/>
      </c>
      <c r="J2" s="5" t="inlineStr">
        <is>
          <t>MAX</t>
        </is>
      </c>
      <c r="K2" s="3">
        <f>MAX(B2:B2500)</f>
        <v/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J3" s="5" t="inlineStr">
        <is>
          <t>MIN</t>
        </is>
      </c>
      <c r="K3" s="3">
        <f>MIN(B2:B2500)</f>
        <v/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J4" s="5" t="inlineStr">
        <is>
          <t>AVE</t>
        </is>
      </c>
      <c r="K4" s="3">
        <f>AVERAGE(B2:B2500)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Kobus Brits</dc:creator>
  <dc:title xmlns:dc="http://purl.org/dc/elements/1.1/">Borehole Calipering Template</dc:title>
  <dcterms:created xmlns:dcterms="http://purl.org/dc/terms/" xmlns:xsi="http://www.w3.org/2001/XMLSchema-instance" xsi:type="dcterms:W3CDTF">2015-01-23T08:31:23Z</dcterms:created>
  <dcterms:modified xmlns:dcterms="http://purl.org/dc/terms/" xmlns:xsi="http://www.w3.org/2001/XMLSchema-instance" xsi:type="dcterms:W3CDTF">2026-09-10T07:38:13Z</dcterms:modified>
  <cp:lastModifiedBy>Kobus Brits</cp:lastModifiedBy>
</cp:coreProperties>
</file>