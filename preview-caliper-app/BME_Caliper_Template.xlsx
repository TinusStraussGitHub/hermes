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85eb1279c384db3c/Documents/project/.venv/CS50 Project/Final Project/"/>
    </mc:Choice>
  </mc:AlternateContent>
  <xr:revisionPtr revIDLastSave="1" documentId="13_ncr:1_{53BBC18E-14F8-4385-A05F-0367A4C303AF}" xr6:coauthVersionLast="47" xr6:coauthVersionMax="47" xr10:uidLastSave="{7C58D171-000A-4D19-8359-315F7AFA3D95}"/>
  <bookViews>
    <workbookView xWindow="-108" yWindow="-108" windowWidth="23256" windowHeight="12456" activeTab="3" xr2:uid="{00000000-000D-0000-FFFF-FFFF00000000}"/>
  </bookViews>
  <sheets>
    <sheet name="Graphs" sheetId="32" r:id="rId1"/>
    <sheet name="Table" sheetId="130" r:id="rId2"/>
    <sheet name="Information" sheetId="350" r:id="rId3"/>
    <sheet name="Sheet1" sheetId="250" r:id="rId4"/>
    <sheet name="Sheet2" sheetId="251" r:id="rId5"/>
    <sheet name="Sheet3" sheetId="252" r:id="rId6"/>
    <sheet name="Sheet4" sheetId="253" r:id="rId7"/>
    <sheet name="Sheet5" sheetId="254" r:id="rId8"/>
    <sheet name="Sheet6" sheetId="255" r:id="rId9"/>
    <sheet name="Sheet7" sheetId="256" r:id="rId10"/>
    <sheet name="Sheet8" sheetId="257" r:id="rId11"/>
    <sheet name="Sheet9" sheetId="258" r:id="rId12"/>
    <sheet name="Sheet10" sheetId="259" r:id="rId13"/>
    <sheet name="Sheet11" sheetId="260" r:id="rId14"/>
    <sheet name="Sheet12" sheetId="261" r:id="rId15"/>
    <sheet name="Sheet13" sheetId="262" r:id="rId16"/>
    <sheet name="Sheet14" sheetId="263" r:id="rId17"/>
    <sheet name="Sheet15" sheetId="264" r:id="rId18"/>
    <sheet name="Sheet16" sheetId="265" r:id="rId19"/>
    <sheet name="Sheet17" sheetId="266" r:id="rId20"/>
    <sheet name="Sheet18" sheetId="267" r:id="rId21"/>
    <sheet name="Sheet19" sheetId="268" r:id="rId22"/>
    <sheet name="Sheet20" sheetId="269" r:id="rId23"/>
    <sheet name="Sheet21" sheetId="270" r:id="rId24"/>
    <sheet name="Sheet22" sheetId="271" r:id="rId25"/>
    <sheet name="Sheet23" sheetId="272" r:id="rId26"/>
    <sheet name="Sheet24" sheetId="273" r:id="rId27"/>
    <sheet name="Sheet25" sheetId="274" r:id="rId28"/>
    <sheet name="Sheet26" sheetId="275" r:id="rId29"/>
    <sheet name="Sheet27" sheetId="276" r:id="rId30"/>
    <sheet name="Sheet28" sheetId="277" r:id="rId31"/>
    <sheet name="Sheet29" sheetId="278" r:id="rId32"/>
    <sheet name="Sheet30" sheetId="279" r:id="rId33"/>
    <sheet name="Sheet31" sheetId="280" r:id="rId34"/>
    <sheet name="Sheet32" sheetId="281" r:id="rId35"/>
    <sheet name="Sheet33" sheetId="282" r:id="rId36"/>
    <sheet name="Sheet34" sheetId="283" r:id="rId37"/>
    <sheet name="Sheet35" sheetId="284" r:id="rId38"/>
    <sheet name="Sheet36" sheetId="285" r:id="rId39"/>
    <sheet name="Sheet37" sheetId="286" r:id="rId40"/>
    <sheet name="Sheet38" sheetId="287" r:id="rId41"/>
    <sheet name="Sheet39" sheetId="288" r:id="rId42"/>
    <sheet name="Sheet40" sheetId="289" r:id="rId43"/>
    <sheet name="Sheet41" sheetId="290" r:id="rId44"/>
    <sheet name="Sheet42" sheetId="291" r:id="rId45"/>
    <sheet name="Sheet43" sheetId="292" r:id="rId46"/>
    <sheet name="Sheet44" sheetId="293" r:id="rId47"/>
    <sheet name="Sheet45" sheetId="294" r:id="rId48"/>
    <sheet name="Sheet46" sheetId="295" r:id="rId49"/>
    <sheet name="Sheet47" sheetId="296" r:id="rId50"/>
    <sheet name="Sheet48" sheetId="297" r:id="rId51"/>
    <sheet name="Sheet49" sheetId="298" r:id="rId52"/>
    <sheet name="Sheet50" sheetId="299" r:id="rId53"/>
  </sheets>
  <definedNames>
    <definedName name="Actual1">OFFSET(Sheet1!$B$2,0,0,COUNTA(Sheet1!$B:$B),-1)</definedName>
    <definedName name="Actual10">OFFSET(Sheet10!$B$2,0,0,COUNTA(Sheet10!$B:$B),-1)</definedName>
    <definedName name="Actual11">OFFSET(Sheet11!$B$2,0,0,COUNTA(Sheet11!$B:$B),-1)</definedName>
    <definedName name="Actual12">OFFSET(Sheet12!$B$2,0,0,COUNTA(Sheet12!$B:$B),-1)</definedName>
    <definedName name="Actual13">OFFSET(Sheet13!$B$2,0,0,COUNTA(Sheet13!$B:$B),-1)</definedName>
    <definedName name="Actual14">OFFSET(Sheet14!$B$2,0,0,COUNTA(Sheet14!$B:$B),-1)</definedName>
    <definedName name="Actual15">OFFSET(Sheet15!$B$2,0,0,COUNTA(Sheet15!$B:$B),-1)</definedName>
    <definedName name="Actual16">OFFSET(Sheet16!$B$2,0,0,COUNTA(Sheet16!$B:$B),-1)</definedName>
    <definedName name="Actual17">OFFSET(Sheet17!$B$2,0,0,COUNTA(Sheet17!$B:$B),-1)</definedName>
    <definedName name="Actual18">OFFSET(Sheet18!$B$2,0,0,COUNTA(Sheet18!$B:$B),-1)</definedName>
    <definedName name="Actual19">OFFSET(Sheet19!$B$2,0,0,COUNTA(Sheet19!$B:$B),-1)</definedName>
    <definedName name="Actual2">OFFSET(Sheet2!$B$2,0,0,COUNTA(Sheet2!$B:$B),-1)</definedName>
    <definedName name="Actual20">OFFSET(Sheet20!$B$2,0,0,COUNTA(Sheet20!$B:$B),-1)</definedName>
    <definedName name="Actual21">OFFSET(Sheet21!$B$2,0,0,COUNTA(Sheet21!$B:$B),-1)</definedName>
    <definedName name="Actual22">OFFSET(Sheet22!$B$2,0,0,COUNTA(Sheet22!$B:$B),-1)</definedName>
    <definedName name="Actual23">OFFSET(Sheet23!$B$2,0,0,COUNTA(Sheet23!$B:$B),-1)</definedName>
    <definedName name="Actual24">OFFSET(Sheet24!$B$2,0,0,COUNTA(Sheet24!$B:$B),-1)</definedName>
    <definedName name="Actual25">OFFSET(Sheet25!$B$2,0,0,COUNTA(Sheet25!$B:$B),-1)</definedName>
    <definedName name="Actual26">OFFSET(Sheet26!$B$2,0,0,COUNTA(Sheet26!$B:$B),-1)</definedName>
    <definedName name="Actual27">OFFSET(Sheet27!$B$2,0,0,COUNTA(Sheet27!$B:$B),-1)</definedName>
    <definedName name="Actual28">OFFSET(Sheet28!$B$2,0,0,COUNTA(Sheet28!$B:$B),-1)</definedName>
    <definedName name="Actual29">OFFSET(Sheet29!$B$2,0,0,COUNTA(Sheet29!$B:$B),-1)</definedName>
    <definedName name="Actual3">OFFSET(Sheet3!$B$2,0,0,COUNTA(Sheet3!$B:$B),-1)</definedName>
    <definedName name="Actual30">OFFSET(Sheet30!$B$2,0,0,COUNTA(Sheet30!$B:$B),-1)</definedName>
    <definedName name="Actual31">OFFSET(Sheet31!$B$2,0,0,COUNTA(Sheet31!$B:$B),-1)</definedName>
    <definedName name="Actual32">OFFSET(Sheet32!$B$2,0,0,COUNTA(Sheet32!$B:$B),-1)</definedName>
    <definedName name="Actual33">OFFSET(Sheet33!$B$2,0,0,COUNTA(Sheet33!$B:$B),-1)</definedName>
    <definedName name="Actual34">OFFSET(Sheet34!$B$2,0,0,COUNTA(Sheet34!$B:$B),-1)</definedName>
    <definedName name="Actual35">OFFSET(Sheet35!$B$2,0,0,COUNTA(Sheet35!$B:$B),-1)</definedName>
    <definedName name="Actual36">OFFSET(Sheet36!$B$2,0,0,COUNTA(Sheet36!$B:$B),-1)</definedName>
    <definedName name="Actual37">OFFSET(Sheet37!$B$2,0,0,COUNTA(Sheet37!$B:$B),-1)</definedName>
    <definedName name="Actual38">OFFSET(Sheet38!$B$2,0,0,COUNTA(Sheet38!$B:$B),-1)</definedName>
    <definedName name="Actual39">OFFSET(Sheet39!$B$2,0,0,COUNTA(Sheet39!$B:$B),-1)</definedName>
    <definedName name="Actual4">OFFSET(Sheet4!$B$2,0,0,COUNTA(Sheet4!$B:$B),-1)</definedName>
    <definedName name="Actual40">OFFSET(Sheet40!$B$2,0,0,COUNTA(Sheet40!$B:$B),-1)</definedName>
    <definedName name="Actual41">OFFSET(Sheet41!$B$2,0,0,COUNTA(Sheet41!$B:$B),-1)</definedName>
    <definedName name="Actual42">OFFSET(Sheet42!$B$2,0,0,COUNTA(Sheet42!$B:$B),-1)</definedName>
    <definedName name="Actual43">OFFSET(Sheet43!$B$2,0,0,COUNTA(Sheet43!$B:$B),-1)</definedName>
    <definedName name="Actual44">OFFSET(Sheet44!$B$2,0,0,COUNTA(Sheet44!$B:$B),-1)</definedName>
    <definedName name="Actual45">OFFSET(Sheet45!$B$2,0,0,COUNTA(Sheet45!$B:$B),-1)</definedName>
    <definedName name="Actual46">OFFSET(Sheet46!$B$2,0,0,COUNTA(Sheet46!$B:$B),-1)</definedName>
    <definedName name="Actual47">OFFSET(Sheet47!$B$2,0,0,COUNTA(Sheet47!$B:$B),-1)</definedName>
    <definedName name="Actual48">OFFSET(Sheet48!$B$2,0,0,COUNTA(Sheet48!$B:$B),-1)</definedName>
    <definedName name="Actual49">OFFSET(Sheet49!$B$2,0,0,COUNTA(Sheet49!$B:$B),-1)</definedName>
    <definedName name="Actual5">OFFSET(Sheet5!$B$2,0,0,COUNTA(Sheet5!$B:$B),-1)</definedName>
    <definedName name="Actual50">OFFSET(Sheet50!$B$2,0,0,COUNTA(Sheet50!$B:$B),-1)</definedName>
    <definedName name="Actual6">OFFSET(Sheet6!$B$2,0,0,COUNTA(Sheet6!$B:$B),-1)</definedName>
    <definedName name="Actual7">OFFSET(Sheet7!$B$2,0,0,COUNTA(Sheet7!$B:$B),-1)</definedName>
    <definedName name="Actual8">OFFSET(Sheet8!$B$2,0,0,COUNTA(Sheet8!$B:$B),-1)</definedName>
    <definedName name="Actual9">OFFSET(Sheet9!$B$2,0,0,COUNTA(Sheet9!$B:$B),-1)</definedName>
    <definedName name="ActualM1">OFFSET(Sheet1!$D$2,0,0,COUNTA(Sheet1!$D:$D),-1)</definedName>
    <definedName name="ActualM10">OFFSET(Sheet10!$D$2,0,0,COUNTA(Sheet10!$D:$D),-1)</definedName>
    <definedName name="ActualM11">OFFSET(Sheet11!$D$2,0,0,COUNTA(Sheet11!$D:$D),-1)</definedName>
    <definedName name="ActualM12">OFFSET(Sheet12!$D$2,0,0,COUNTA(Sheet12!$D:$D),-1)</definedName>
    <definedName name="ActualM13">OFFSET(Sheet13!$D$2,0,0,COUNTA(Sheet13!$D:$D),-1)</definedName>
    <definedName name="ActualM14">OFFSET(Sheet14!$D$2,0,0,COUNTA(Sheet14!$D:$D),-1)</definedName>
    <definedName name="ActualM15">OFFSET(Sheet15!$D$2,0,0,COUNTA(Sheet15!$D:$D),-1)</definedName>
    <definedName name="ActualM16">OFFSET(Sheet16!$D$2,0,0,COUNTA(Sheet16!$D:$D),-1)</definedName>
    <definedName name="ActualM17">OFFSET(Sheet17!$D$2,0,0,COUNTA(Sheet17!$D:$D),-1)</definedName>
    <definedName name="ActualM18">OFFSET(Sheet18!$D$2,0,0,COUNTA(Sheet18!$D:$D),-1)</definedName>
    <definedName name="ActualM19">OFFSET(Sheet19!$D$2,0,0,COUNTA(Sheet19!$D:$D),-1)</definedName>
    <definedName name="ActualM2">OFFSET(Sheet2!$D$2,0,0,COUNTA(Sheet2!$D:$D),-1)</definedName>
    <definedName name="ActualM20">OFFSET(Sheet20!$D$2,0,0,COUNTA(Sheet20!$D:$D),-1)</definedName>
    <definedName name="ActualM21">OFFSET(Sheet21!$D$2,0,0,COUNTA(Sheet21!$D:$D),-1)</definedName>
    <definedName name="ActualM22">OFFSET(Sheet22!$D$2,0,0,COUNTA(Sheet22!$D:$D),-1)</definedName>
    <definedName name="ActualM23">OFFSET(Sheet23!$D$2,0,0,COUNTA(Sheet23!$D:$D),-1)</definedName>
    <definedName name="ActualM24">OFFSET(Sheet24!$D$2,0,0,COUNTA(Sheet24!$D:$D),-1)</definedName>
    <definedName name="ActualM25">OFFSET(Sheet25!$D$2,0,0,COUNTA(Sheet25!$D:$D),-1)</definedName>
    <definedName name="ActualM26">OFFSET(Sheet26!$D$2,0,0,COUNTA(Sheet26!$D:$D),-1)</definedName>
    <definedName name="ActualM27">OFFSET(Sheet27!$D$2,0,0,COUNTA(Sheet27!$D:$D),-1)</definedName>
    <definedName name="ActualM28">OFFSET(Sheet28!$D$2,0,0,COUNTA(Sheet28!$D:$D),-1)</definedName>
    <definedName name="ActualM29">OFFSET(Sheet29!$D$2,0,0,COUNTA(Sheet29!$D:$D),-1)</definedName>
    <definedName name="ActualM3">OFFSET(Sheet3!$D$2,0,0,COUNTA(Sheet3!$D:$D),-1)</definedName>
    <definedName name="ActualM30">OFFSET(Sheet30!$D$2,0,0,COUNTA(Sheet30!$D:$D),-1)</definedName>
    <definedName name="ActualM31">OFFSET(Sheet31!$D$2,0,0,COUNTA(Sheet31!$D:$D),-1)</definedName>
    <definedName name="ActualM32">OFFSET(Sheet32!$D$2,0,0,COUNTA(Sheet32!$D:$D),-1)</definedName>
    <definedName name="ActualM33">OFFSET(Sheet33!$D$2,0,0,COUNTA(Sheet33!$D:$D),-1)</definedName>
    <definedName name="ActualM34">OFFSET(Sheet34!$D$2,0,0,COUNTA(Sheet34!$D:$D),-1)</definedName>
    <definedName name="ActualM35">OFFSET(Sheet35!$D$2,0,0,COUNTA(Sheet35!$D:$D),-1)</definedName>
    <definedName name="ActualM36">OFFSET(Sheet36!$D$2,0,0,COUNTA(Sheet36!$D:$D),-1)</definedName>
    <definedName name="ActualM37">OFFSET(Sheet37!$D$2,0,0,COUNTA(Sheet37!$D:$D),-1)</definedName>
    <definedName name="ActualM38">OFFSET(Sheet38!$D$2,0,0,COUNTA(Sheet38!$D:$D),-1)</definedName>
    <definedName name="ActualM39">OFFSET(Sheet39!$D$2,0,0,COUNTA(Sheet39!$D:$D),-1)</definedName>
    <definedName name="ActualM4">OFFSET(Sheet4!$D$2,0,0,COUNTA(Sheet4!$D:$D),-1)</definedName>
    <definedName name="ActualM40">OFFSET(Sheet40!$D$2,0,0,COUNTA(Sheet40!$D:$D),-1)</definedName>
    <definedName name="ActualM41">OFFSET(Sheet41!$D$2,0,0,COUNTA(Sheet41!$D:$D),-1)</definedName>
    <definedName name="ActualM42">OFFSET(Sheet42!$D$2,0,0,COUNTA(Sheet42!$D:$D),-1)</definedName>
    <definedName name="ActualM43">OFFSET(Sheet43!$D$2,0,0,COUNTA(Sheet43!$D:$D),-1)</definedName>
    <definedName name="ActualM44">OFFSET(Sheet45!$D$2,0,0,COUNTA(Sheet45!$D:$D),-1)</definedName>
    <definedName name="ActualM45">OFFSET(Sheet45!$D$2,0,0,COUNTA(Sheet45!$D:$D),-1)</definedName>
    <definedName name="ActualM46">OFFSET(Sheet46!$D$2,0,0,COUNTA(Sheet46!$D:$D),-1)</definedName>
    <definedName name="ActualM47">OFFSET(Sheet47!$D$2,0,0,COUNTA(Sheet47!$D:$D),-1)</definedName>
    <definedName name="ActualM48">OFFSET(Sheet48!$D$2,0,0,COUNTA(Sheet48!$D:$D),-1)</definedName>
    <definedName name="ActualM49">OFFSET(Sheet49!$D$2,0,0,COUNTA(Sheet49!$D:$D),-1)</definedName>
    <definedName name="ActualM5">OFFSET(Sheet5!$D$2,0,0,COUNTA(Sheet5!$D:$D),-1)</definedName>
    <definedName name="ActualM50">OFFSET(Sheet50!$D$2,0,0,COUNTA(Sheet50!$D:$D),-1)</definedName>
    <definedName name="ActualM6">OFFSET(Sheet6!$D$2,0,0,COUNTA(Sheet6!$D:$D),-1)</definedName>
    <definedName name="ActualM7">OFFSET(Sheet7!$D$2,0,0,COUNTA(Sheet7!$D:$D),-1)</definedName>
    <definedName name="ActualM8">OFFSET(Sheet8!$D$2,0,0,COUNTA(Sheet8!$D:$D),-1)</definedName>
    <definedName name="ActualM9">OFFSET(Sheet9!$D$2,0,0,COUNTA(Sheet9!$D:$D),-1)</definedName>
    <definedName name="ActualP1">OFFSET(Sheet1!$C$2,0,0,COUNTA(Sheet1!$C:$C),-1)</definedName>
    <definedName name="ActualP10">OFFSET(Sheet10!$C$2,0,0,COUNTA(Sheet10!$C:$C),-1)</definedName>
    <definedName name="ActualP11">OFFSET(Sheet11!$C$2,0,0,COUNTA(Sheet11!$C:$C),-1)</definedName>
    <definedName name="ActualP12">OFFSET(Sheet12!$C$2,0,0,COUNTA(Sheet12!$C:$C),-1)</definedName>
    <definedName name="ActualP13">OFFSET(Sheet13!$C$2,0,0,COUNTA(Sheet13!$C:$C),-1)</definedName>
    <definedName name="ActualP14">OFFSET(Sheet14!$C$2,0,0,COUNTA(Sheet14!$C:$C),-1)</definedName>
    <definedName name="ActualP15">OFFSET(Sheet15!$C$2,0,0,COUNTA(Sheet15!$C:$C),-1)</definedName>
    <definedName name="ActualP16">OFFSET(Sheet16!$C$2,0,0,COUNTA(Sheet16!$C:$C),-1)</definedName>
    <definedName name="ActualP17">OFFSET(Sheet17!$C$2,0,0,COUNTA(Sheet17!$C:$C),-1)</definedName>
    <definedName name="ActualP18">OFFSET(Sheet18!$C$2,0,0,COUNTA(Sheet18!$C:$C),-1)</definedName>
    <definedName name="ActualP19">OFFSET(Sheet19!$C$2,0,0,COUNTA(Sheet19!$C:$C),-1)</definedName>
    <definedName name="ActualP2">OFFSET(Sheet2!$C$2,0,0,COUNTA(Sheet2!$C:$C),-1)</definedName>
    <definedName name="ActualP20">OFFSET(Sheet20!$C$2,0,0,COUNTA(Sheet20!$C:$C),-1)</definedName>
    <definedName name="ActualP21">OFFSET(Sheet21!$C$2,0,0,COUNTA(Sheet21!$C:$C),-1)</definedName>
    <definedName name="ActualP22">OFFSET(Sheet22!$C$2,0,0,COUNTA(Sheet22!$C:$C),-1)</definedName>
    <definedName name="ActualP23">OFFSET(Sheet23!$C$2,0,0,COUNTA(Sheet23!$C:$C),-1)</definedName>
    <definedName name="ActualP24">OFFSET(Sheet24!$C$2,0,0,COUNTA(Sheet24!$C:$C),-1)</definedName>
    <definedName name="ActualP25">OFFSET(Sheet25!$C$2,0,0,COUNTA(Sheet25!$C:$C),-1)</definedName>
    <definedName name="ActualP26">OFFSET(Sheet26!$C$2,0,0,COUNTA(Sheet26!$C:$C),-1)</definedName>
    <definedName name="ActualP27">OFFSET(Sheet27!$C$2,0,0,COUNTA(Sheet27!$C:$C),-1)</definedName>
    <definedName name="ActualP28">OFFSET(Sheet28!$C$2,0,0,COUNTA(Sheet28!$C:$C),-1)</definedName>
    <definedName name="ActualP29">OFFSET(Sheet29!$C$2,0,0,COUNTA(Sheet29!$C:$C),-1)</definedName>
    <definedName name="ActualP3">OFFSET(Sheet3!$C$2,0,0,COUNTA(Sheet3!$C:$C),-1)</definedName>
    <definedName name="ActualP30">OFFSET(Sheet30!$C$2,0,0,COUNTA(Sheet30!$C:$C),-1)</definedName>
    <definedName name="ActualP31">OFFSET(Sheet31!$C$2,0,0,COUNTA(Sheet31!$C:$C),-1)</definedName>
    <definedName name="ActualP32">OFFSET(Sheet32!$C$2,0,0,COUNTA(Sheet32!$C:$C),-1)</definedName>
    <definedName name="ActualP33">OFFSET(Sheet33!$C$2,0,0,COUNTA(Sheet33!$C:$C),-1)</definedName>
    <definedName name="ActualP34">OFFSET(Sheet34!$C$2,0,0,COUNTA(Sheet34!$C:$C),-1)</definedName>
    <definedName name="ActualP35">OFFSET(Sheet35!$C$2,0,0,COUNTA(Sheet35!$C:$C),-1)</definedName>
    <definedName name="ActualP36">OFFSET(Sheet36!$C$2,0,0,COUNTA(Sheet36!$C:$C),-1)</definedName>
    <definedName name="ActualP37">OFFSET(Sheet37!$C$2,0,0,COUNTA(Sheet37!$C:$C),-1)</definedName>
    <definedName name="ActualP38">OFFSET(Sheet38!$C$2,0,0,COUNTA(Sheet38!$C:$C),-1)</definedName>
    <definedName name="ActualP39">OFFSET(Sheet39!$C$2,0,0,COUNTA(Sheet39!$C:$C),-1)</definedName>
    <definedName name="ActualP4">OFFSET(Sheet4!$C$2,0,0,COUNTA(Sheet4!$C:$C),-1)</definedName>
    <definedName name="ActualP40">OFFSET(Sheet40!$C$2,0,0,COUNTA(Sheet40!$C:$C),-1)</definedName>
    <definedName name="ActualP41">OFFSET(Sheet41!$C$2,0,0,COUNTA(Sheet41!$C:$C),-1)</definedName>
    <definedName name="ActualP42">OFFSET(Sheet42!$C$2,0,0,COUNTA(Sheet42!$C:$C),-1)</definedName>
    <definedName name="ActualP43">OFFSET(Sheet43!$C$2,0,0,COUNTA(Sheet43!$C:$C),-1)</definedName>
    <definedName name="ActualP44">OFFSET(Sheet45!$C$2,0,0,COUNTA(Sheet45!$C:$C),-1)</definedName>
    <definedName name="ActualP45">OFFSET(Sheet45!$C$2,0,0,COUNTA(Sheet45!$C:$C),-1)</definedName>
    <definedName name="ActualP46">OFFSET(Sheet46!$C$2,0,0,COUNTA(Sheet46!$C:$C),-1)</definedName>
    <definedName name="ActualP47">OFFSET(Sheet47!$C$2,0,0,COUNTA(Sheet47!$C:$C),-1)</definedName>
    <definedName name="ActualP48">OFFSET(Sheet48!$C$2,0,0,COUNTA(Sheet48!$C:$C),-1)</definedName>
    <definedName name="ActualP49">OFFSET(Sheet49!$C$2,0,0,COUNTA(Sheet49!$C:$C),-1)</definedName>
    <definedName name="ActualP5">OFFSET(Sheet5!$C$2,0,0,COUNTA(Sheet5!$C:$C),-1)</definedName>
    <definedName name="ActualP50">OFFSET(Sheet50!$C$2,0,0,COUNTA(Sheet50!$C:$C),-1)</definedName>
    <definedName name="ActualP6">OFFSET(Sheet6!$C$2,0,0,COUNTA(Sheet6!$C:$C),-1)</definedName>
    <definedName name="ActualP7">OFFSET(Sheet7!$C$2,0,0,COUNTA(Sheet7!$C:$C),-1)</definedName>
    <definedName name="ActualP8">OFFSET(Sheet8!$C$2,0,0,COUNTA(Sheet8!$C:$C),-1)</definedName>
    <definedName name="ActualP9">OFFSET(Sheet9!$C$2,0,0,COUNTA(Sheet9!$C:$C),-1)</definedName>
    <definedName name="Depth1">OFFSET(Sheet1!$A$2,0,0,COUNTA(Sheet1!$A:$A),-1)</definedName>
    <definedName name="Depth10">OFFSET(Sheet10!$A$2,0,0,COUNTA(Sheet10!$A:$A),-1)</definedName>
    <definedName name="Depth11">OFFSET(Sheet11!$A$2,0,0,COUNTA(Sheet11!$A:$A),-1)</definedName>
    <definedName name="Depth12">OFFSET(Sheet12!$A$2,0,0,COUNTA(Sheet12!$A:$A),-1)</definedName>
    <definedName name="Depth13">OFFSET(Sheet13!$A$2,0,0,COUNTA(Sheet13!$A:$A),-1)</definedName>
    <definedName name="Depth14">OFFSET(Sheet14!$A$2,0,0,COUNTA(Sheet14!$A:$A),-1)</definedName>
    <definedName name="Depth15">OFFSET(Sheet15!$A$2,0,0,COUNTA(Sheet15!$A:$A),-1)</definedName>
    <definedName name="Depth16">OFFSET(Sheet16!$A$2,0,0,COUNTA(Sheet16!$A:$A),-1)</definedName>
    <definedName name="Depth17">OFFSET(Sheet17!$A$2,0,0,COUNTA(Sheet17!$A:$A),-1)</definedName>
    <definedName name="Depth18">OFFSET(Sheet18!$A$2,0,0,COUNTA(Sheet18!$A:$A),-1)</definedName>
    <definedName name="Depth19">OFFSET(Sheet19!$A$2,0,0,COUNTA(Sheet19!$A:$A),-1)</definedName>
    <definedName name="Depth2">OFFSET(Sheet2!$A$2,0,0,COUNTA(Sheet2!$A:$A),-1)</definedName>
    <definedName name="Depth20">OFFSET(Sheet20!$A$2,0,0,COUNTA(Sheet20!$A:$A),-1)</definedName>
    <definedName name="Depth21">OFFSET(Sheet21!$A$2,0,0,COUNTA(Sheet21!$A:$A),-1)</definedName>
    <definedName name="Depth22">OFFSET(Sheet22!$A$2,0,0,COUNTA(Sheet22!$A:$A),-1)</definedName>
    <definedName name="Depth23">OFFSET(Sheet23!$A$2,0,0,COUNTA(Sheet23!$A:$A),-1)</definedName>
    <definedName name="Depth24">OFFSET(Sheet24!$A$2,0,0,COUNTA(Sheet24!$A:$A),-1)</definedName>
    <definedName name="Depth25">OFFSET(Sheet25!$A$2,0,0,COUNTA(Sheet25!$A:$A),-1)</definedName>
    <definedName name="Depth26">OFFSET(Sheet26!$A$2,0,0,COUNTA(Sheet26!$A:$A),-1)</definedName>
    <definedName name="Depth27">OFFSET(Sheet27!$A$2,0,0,COUNTA(Sheet27!$A:$A),-1)</definedName>
    <definedName name="Depth28">OFFSET(Sheet28!$A$2,0,0,COUNTA(Sheet28!$A:$A),-1)</definedName>
    <definedName name="Depth29">OFFSET(Sheet29!$A$2,0,0,COUNTA(Sheet29!$A:$A),-1)</definedName>
    <definedName name="Depth3">OFFSET(Sheet3!$A$2,0,0,COUNTA(Sheet3!$A:$A),-1)</definedName>
    <definedName name="Depth30">OFFSET(Sheet30!$A$2,0,0,COUNTA(Sheet30!$A:$A),-1)</definedName>
    <definedName name="Depth31">OFFSET(Sheet31!$A$2,0,0,COUNTA(Sheet31!$A:$A),-1)</definedName>
    <definedName name="Depth32">OFFSET(Sheet32!$A$2,0,0,COUNTA(Sheet32!$A:$A),-1)</definedName>
    <definedName name="Depth33">OFFSET(Sheet33!$A$2,0,0,COUNTA(Sheet33!$A:$A),-1)</definedName>
    <definedName name="Depth34">OFFSET(Sheet34!$A$2,0,0,COUNTA(Sheet34!$A:$A),-1)</definedName>
    <definedName name="Depth35">OFFSET(Sheet35!$A$2,0,0,COUNTA(Sheet35!$A:$A),-1)</definedName>
    <definedName name="Depth36">OFFSET(Sheet36!$A$2,0,0,COUNTA(Sheet36!$A:$A),-1)</definedName>
    <definedName name="Depth37">OFFSET(Sheet37!$A$2,0,0,COUNTA(Sheet37!$A:$A),-1)</definedName>
    <definedName name="Depth38">OFFSET(Sheet38!$A$2,0,0,COUNTA(Sheet38!$A:$A),-1)</definedName>
    <definedName name="Depth39">OFFSET(Sheet39!$A$2,0,0,COUNTA(Sheet39!$A:$A),-1)</definedName>
    <definedName name="Depth4">OFFSET(Sheet4!$A$2,0,0,COUNTA(Sheet4!$A:$A),-1)</definedName>
    <definedName name="Depth40">OFFSET(Sheet40!$A$2,0,0,COUNTA(Sheet40!$A:$A),-1)</definedName>
    <definedName name="Depth41">OFFSET(Sheet41!$A$2,0,0,COUNTA(Sheet41!$A:$A),-1)</definedName>
    <definedName name="Depth42">OFFSET(Sheet42!$A$2,0,0,COUNTA(Sheet42!$A:$A),-1)</definedName>
    <definedName name="Depth43">OFFSET(Sheet43!$A$2,0,0,COUNTA(Sheet43!$A:$A),-1)</definedName>
    <definedName name="Depth44">OFFSET(Sheet44!$A$2,0,0,COUNTA(Sheet44!$A:$A),-1)</definedName>
    <definedName name="Depth45">OFFSET(Sheet45!$A$2,0,0,COUNTA(Sheet45!$A:$A),-1)</definedName>
    <definedName name="Depth46">OFFSET(Sheet46!$A$2,0,0,COUNTA(Sheet46!$A:$A),-1)</definedName>
    <definedName name="Depth47">OFFSET(Sheet47!$A$2,0,0,COUNTA(Sheet47!$A:$A),-1)</definedName>
    <definedName name="Depth48">OFFSET(Sheet48!$A$2,0,0,COUNTA(Sheet48!$A:$A),-1)</definedName>
    <definedName name="Depth49">OFFSET(Sheet49!$A$2,0,0,COUNTA(Sheet49!$A:$A),-1)</definedName>
    <definedName name="Depth5">OFFSET(Sheet5!$A$2,0,0,COUNTA(Sheet5!$A:$A),-1)</definedName>
    <definedName name="Depth50">OFFSET(Sheet50!$A$2,0,0,COUNTA(Sheet50!$A:$A),-1)</definedName>
    <definedName name="Depth6">OFFSET(Sheet6!$A$2,0,0,COUNTA(Sheet6!$A:$A),-1)</definedName>
    <definedName name="Depth7">OFFSET(Sheet7!$A$2,0,0,COUNTA(Sheet7!$A:$A),-1)</definedName>
    <definedName name="Depth8">OFFSET(Sheet8!$A$2,0,0,COUNTA(Sheet8!$A:$A),-1)</definedName>
    <definedName name="Depth9">OFFSET(Sheet9!$A$2,0,0,COUNTA(Sheet9!$A:$A),-1)</definedName>
    <definedName name="Planned1">OFFSET(Sheet1!$G$2,0,0,COUNTA(Sheet1!$G:$G),-1)</definedName>
    <definedName name="Planned10">OFFSET(Sheet10!$G$2,0,0,COUNTA(Sheet10!$G:$G),-1)</definedName>
    <definedName name="Planned11">OFFSET(Sheet11!$G$2,0,0,COUNTA(Sheet11!$G:$G),-1)</definedName>
    <definedName name="Planned12">OFFSET(Sheet12!$G$2,0,0,COUNTA(Sheet12!$G:$G),-1)</definedName>
    <definedName name="Planned13">OFFSET(Sheet13!$G$2,0,0,COUNTA(Sheet13!$G:$G),-1)</definedName>
    <definedName name="Planned14">OFFSET(Sheet14!$G$2,0,0,COUNTA(Sheet14!$G:$G),-1)</definedName>
    <definedName name="Planned15">OFFSET(Sheet15!$G$2,0,0,COUNTA(Sheet15!$G:$G),-1)</definedName>
    <definedName name="Planned16">OFFSET(Sheet16!$G$2,0,0,COUNTA(Sheet16!$G:$G),-1)</definedName>
    <definedName name="Planned17">OFFSET(Sheet17!$G$2,0,0,COUNTA(Sheet17!$G:$G),-1)</definedName>
    <definedName name="Planned18">OFFSET(Sheet18!$G$2,0,0,COUNTA(Sheet18!$G:$G),-1)</definedName>
    <definedName name="Planned19">OFFSET(Sheet19!$G$2,0,0,COUNTA(Sheet19!$G:$G),-1)</definedName>
    <definedName name="Planned2">OFFSET(Sheet2!$G$2,0,0,COUNTA(Sheet2!$G:$G),-1)</definedName>
    <definedName name="Planned20">OFFSET(Sheet20!$G$2,0,0,COUNTA(Sheet20!$G:$G),-1)</definedName>
    <definedName name="Planned21">OFFSET(Sheet21!$G$2,0,0,COUNTA(Sheet21!$G:$G),-1)</definedName>
    <definedName name="Planned22">OFFSET(Sheet22!$G$2,0,0,COUNTA(Sheet22!$G:$G),-1)</definedName>
    <definedName name="Planned23">OFFSET(Sheet23!$G$2,0,0,COUNTA(Sheet23!$G:$G),-1)</definedName>
    <definedName name="Planned24">OFFSET(Sheet24!$G$2,0,0,COUNTA(Sheet24!$G:$G),-1)</definedName>
    <definedName name="Planned25">OFFSET(Sheet25!$G$2,0,0,COUNTA(Sheet25!$G:$G),-1)</definedName>
    <definedName name="Planned26">OFFSET(Sheet26!$G$2,0,0,COUNTA(Sheet26!$G:$G),-1)</definedName>
    <definedName name="Planned27">OFFSET(Sheet27!$G$2,0,0,COUNTA(Sheet27!$G:$G),-1)</definedName>
    <definedName name="Planned28">OFFSET(Sheet28!$G$2,0,0,COUNTA(Sheet28!$G:$G),-1)</definedName>
    <definedName name="Planned29">OFFSET(Sheet29!$G$2,0,0,COUNTA(Sheet29!$G:$G),-1)</definedName>
    <definedName name="Planned3">OFFSET(Sheet3!$G$2,0,0,COUNTA(Sheet3!$G:$G),-1)</definedName>
    <definedName name="Planned30">OFFSET(Sheet30!$G$2,0,0,COUNTA(Sheet30!$G:$G),-1)</definedName>
    <definedName name="Planned31">OFFSET(Sheet31!$G$2,0,0,COUNTA(Sheet31!$G:$G),-1)</definedName>
    <definedName name="Planned32">OFFSET(Sheet32!$G$2,0,0,COUNTA(Sheet32!$G:$G),-1)</definedName>
    <definedName name="Planned33">OFFSET(Sheet33!$G$2,0,0,COUNTA(Sheet33!$G:$G),-1)</definedName>
    <definedName name="Planned34">OFFSET(Sheet34!$G$2,0,0,COUNTA(Sheet34!$G:$G),-1)</definedName>
    <definedName name="Planned35">OFFSET(Sheet35!$G$2,0,0,COUNTA(Sheet35!$G:$G),-1)</definedName>
    <definedName name="Planned36">OFFSET(Sheet36!$G$2,0,0,COUNTA(Sheet36!$G:$G),-1)</definedName>
    <definedName name="Planned37">OFFSET(Sheet37!$G$2,0,0,COUNTA(Sheet37!$G:$G),-1)</definedName>
    <definedName name="Planned38">OFFSET(Sheet38!$G$2,0,0,COUNTA(Sheet38!$G:$G),-1)</definedName>
    <definedName name="Planned39">OFFSET(Sheet39!$G$2,0,0,COUNTA(Sheet39!$G:$G),-1)</definedName>
    <definedName name="Planned4">OFFSET(Sheet4!$G$2,0,0,COUNTA(Sheet4!$G:$G),-1)</definedName>
    <definedName name="Planned40">OFFSET(Sheet40!$G$2,0,0,COUNTA(Sheet40!$G:$G),-1)</definedName>
    <definedName name="Planned41">OFFSET(Sheet41!$G$2,0,0,COUNTA(Sheet41!$G:$G),-1)</definedName>
    <definedName name="Planned42">OFFSET(Sheet42!$G$2,0,0,COUNTA(Sheet42!$G:$G),-1)</definedName>
    <definedName name="Planned43">OFFSET(Sheet43!$G$2,0,0,COUNTA(Sheet43!$G:$G),-1)</definedName>
    <definedName name="Planned44">OFFSET(Sheet44!$G$2,0,0,COUNTA(Sheet44!$G:$G),-1)</definedName>
    <definedName name="Planned45">OFFSET(Sheet45!$G$2,0,0,COUNTA(Sheet45!$G:$G),-1)</definedName>
    <definedName name="Planned46">OFFSET(Sheet46!$G$2,0,0,COUNTA(Sheet46!$G:$G),-1)</definedName>
    <definedName name="Planned47">OFFSET(Sheet47!$G$2,0,0,COUNTA(Sheet47!$G:$G),-1)</definedName>
    <definedName name="Planned48">OFFSET(Sheet48!$G$2,0,0,COUNTA(Sheet48!$G:$G),-1)</definedName>
    <definedName name="Planned49">OFFSET(Sheet49!$G$2,0,0,COUNTA(Sheet49!$G:$G),-1)</definedName>
    <definedName name="Planned5">OFFSET(Sheet5!$G$2,0,0,COUNTA(Sheet5!$G:$G),-1)</definedName>
    <definedName name="Planned50">OFFSET(Sheet50!$G$2,0,0,COUNTA(Sheet50!$G:$G),-1)</definedName>
    <definedName name="Planned6">OFFSET(Sheet6!$G$2,0,0,COUNTA(Sheet6!$G:$G),-1)</definedName>
    <definedName name="Planned7">OFFSET(Sheet7!$G$2,0,0,COUNTA(Sheet7!$G:$G),-1)</definedName>
    <definedName name="Planned8">OFFSET(Sheet8!$G$2,0,0,COUNTA(Sheet8!$G:$G),-1)</definedName>
    <definedName name="Planned9">OFFSET(Sheet9!$G$2,0,0,COUNTA(Sheet9!$G:$G),-1)</definedName>
    <definedName name="PlannedM1">OFFSET(Sheet1!$F$2,0,0,COUNTA(Sheet1!$F:$F),-1)</definedName>
    <definedName name="PlannedM10">OFFSET(Sheet10!$F$2,0,0,COUNTA(Sheet10!$F:$F),-1)</definedName>
    <definedName name="PlannedM11">OFFSET(Sheet11!$F$2,0,0,COUNTA(Sheet11!$F:$F),-1)</definedName>
    <definedName name="PlannedM12">OFFSET(Sheet12!$F$2,0,0,COUNTA(Sheet12!$F:$F),-1)</definedName>
    <definedName name="PlannedM13">OFFSET(Sheet13!$F$2,0,0,COUNTA(Sheet13!$F:$F),-1)</definedName>
    <definedName name="PlannedM14">OFFSET(Sheet14!$F$2,0,0,COUNTA(Sheet14!$F:$F),-1)</definedName>
    <definedName name="PlannedM15">OFFSET(Sheet15!$F$2,0,0,COUNTA(Sheet15!$F:$F),-1)</definedName>
    <definedName name="PlannedM16">OFFSET(Sheet16!$F$2,0,0,COUNTA(Sheet16!$F:$F),-1)</definedName>
    <definedName name="PlannedM17">OFFSET(Sheet17!$F$2,0,0,COUNTA(Sheet17!$F:$F),-1)</definedName>
    <definedName name="PlannedM18">OFFSET(Sheet18!$F$2,0,0,COUNTA(Sheet18!$F:$F),-1)</definedName>
    <definedName name="PlannedM19">OFFSET(Sheet19!$F$2,0,0,COUNTA(Sheet19!$F:$F),-1)</definedName>
    <definedName name="PlannedM2">OFFSET(Sheet2!$F$2,0,0,COUNTA(Sheet2!$F:$F),-1)</definedName>
    <definedName name="PlannedM20">OFFSET(Sheet20!$F$2,0,0,COUNTA(Sheet20!$F:$F),-1)</definedName>
    <definedName name="PlannedM21">OFFSET(Sheet21!$F$2,0,0,COUNTA(Sheet21!$F:$F),-1)</definedName>
    <definedName name="PlannedM22">OFFSET(Sheet22!$F$2,0,0,COUNTA(Sheet22!$F:$F),-1)</definedName>
    <definedName name="PlannedM23">OFFSET(Sheet23!$F$2,0,0,COUNTA(Sheet23!$F:$F),-1)</definedName>
    <definedName name="PlannedM24">OFFSET(Sheet24!$F$2,0,0,COUNTA(Sheet24!$F:$F),-1)</definedName>
    <definedName name="PlannedM25">OFFSET(Sheet25!$F$2,0,0,COUNTA(Sheet25!$F:$F),-1)</definedName>
    <definedName name="PlannedM26">OFFSET(Sheet26!$F$2,0,0,COUNTA(Sheet26!$F:$F),-1)</definedName>
    <definedName name="PlannedM27">OFFSET(Sheet27!$F$2,0,0,COUNTA(Sheet27!$F:$F),-1)</definedName>
    <definedName name="PlannedM28">OFFSET(Sheet28!$F$2,0,0,COUNTA(Sheet28!$F:$F),-1)</definedName>
    <definedName name="PlannedM29">OFFSET(Sheet29!$F$2,0,0,COUNTA(Sheet29!$F:$F),-1)</definedName>
    <definedName name="PlannedM3">OFFSET(Sheet3!$F$2,0,0,COUNTA(Sheet3!$F:$F),-1)</definedName>
    <definedName name="PlannedM30">OFFSET(Sheet30!$F$2,0,0,COUNTA(Sheet30!$F:$F),-1)</definedName>
    <definedName name="PlannedM31">OFFSET(Sheet31!$F$2,0,0,COUNTA(Sheet31!$F:$F),-1)</definedName>
    <definedName name="PlannedM32">OFFSET(Sheet32!$F$2,0,0,COUNTA(Sheet32!$F:$F),-1)</definedName>
    <definedName name="PlannedM33">OFFSET(Sheet33!$F$2,0,0,COUNTA(Sheet33!$F:$F),-1)</definedName>
    <definedName name="PlannedM34">OFFSET(Sheet34!$F$2,0,0,COUNTA(Sheet34!$F:$F),-1)</definedName>
    <definedName name="PlannedM35">OFFSET(Sheet35!$F$2,0,0,COUNTA(Sheet35!$F:$F),-1)</definedName>
    <definedName name="PlannedM36">OFFSET(Sheet36!$F$2,0,0,COUNTA(Sheet36!$F:$F),-1)</definedName>
    <definedName name="PlannedM37">OFFSET(Sheet37!$F$2,0,0,COUNTA(Sheet37!$F:$F),-1)</definedName>
    <definedName name="PlannedM38">OFFSET(Sheet38!$F$2,0,0,COUNTA(Sheet38!$F:$F),-1)</definedName>
    <definedName name="PlannedM39">OFFSET(Sheet39!$F$2,0,0,COUNTA(Sheet39!$F:$F),-1)</definedName>
    <definedName name="PlannedM4">OFFSET(Sheet4!$F$2,0,0,COUNTA(Sheet4!$F:$F),-1)</definedName>
    <definedName name="PlannedM40">OFFSET(Sheet40!$F$2,0,0,COUNTA(Sheet40!$F:$F),-1)</definedName>
    <definedName name="PlannedM41">OFFSET(Sheet41!$F$2,0,0,COUNTA(Sheet41!$F:$F),-1)</definedName>
    <definedName name="PlannedM42">OFFSET(Sheet42!$F$2,0,0,COUNTA(Sheet42!$F:$F),-1)</definedName>
    <definedName name="PlannedM43">OFFSET(Sheet43!$F$2,0,0,COUNTA(Sheet43!$F:$F),-1)</definedName>
    <definedName name="PlannedM44">OFFSET(Sheet45!$F$2,0,0,COUNTA(Sheet45!$F:$F),-1)</definedName>
    <definedName name="PlannedM45">OFFSET(Sheet45!$F$2,0,0,COUNTA(Sheet45!$F:$F),-1)</definedName>
    <definedName name="PlannedM46">OFFSET(Sheet46!$F$2,0,0,COUNTA(Sheet46!$F:$F),-1)</definedName>
    <definedName name="PlannedM47">OFFSET(Sheet47!$F$2,0,0,COUNTA(Sheet47!$F:$F),-1)</definedName>
    <definedName name="PlannedM48">OFFSET(Sheet48!$F$2,0,0,COUNTA(Sheet48!$F:$F),-1)</definedName>
    <definedName name="PlannedM49">OFFSET(Sheet49!$F$2,0,0,COUNTA(Sheet49!$F:$F),-1)</definedName>
    <definedName name="PlannedM5">OFFSET(Sheet5!$F$2,0,0,COUNTA(Sheet5!$F:$F),-1)</definedName>
    <definedName name="PlannedM50">OFFSET(Sheet50!$F$2,0,0,COUNTA(Sheet50!$F:$F),-1)</definedName>
    <definedName name="PlannedM6">OFFSET(Sheet6!$F$2,0,0,COUNTA(Sheet6!$F:$F),-1)</definedName>
    <definedName name="PlannedM7">OFFSET(Sheet7!$F$2,0,0,COUNTA(Sheet7!$F:$F),-1)</definedName>
    <definedName name="PlannedM8">OFFSET(Sheet8!$F$2,0,0,COUNTA(Sheet8!$F:$F),-1)</definedName>
    <definedName name="PlannedM9">OFFSET(Sheet9!$F$2,0,0,COUNTA(Sheet9!$F:$F),-1)</definedName>
    <definedName name="PlannedP1">OFFSET(Sheet1!$E$2,0,0,COUNTA(Sheet1!$E:$E),-1)</definedName>
    <definedName name="PlannedP10">OFFSET(Sheet10!$E$2,0,0,COUNTA(Sheet10!$E:$E),-1)</definedName>
    <definedName name="PlannedP11">OFFSET(Sheet11!$E$2,0,0,COUNTA(Sheet11!$E:$E),-1)</definedName>
    <definedName name="PlannedP12">OFFSET(Sheet12!$E$2,0,0,COUNTA(Sheet12!$E:$E),-1)</definedName>
    <definedName name="PlannedP13">OFFSET(Sheet13!$E$2,0,0,COUNTA(Sheet13!$E:$E),-1)</definedName>
    <definedName name="PlannedP14">OFFSET(Sheet14!$E$2,0,0,COUNTA(Sheet14!$E:$E),-1)</definedName>
    <definedName name="PlannedP15">OFFSET(Sheet15!$E$2,0,0,COUNTA(Sheet15!$E:$E),-1)</definedName>
    <definedName name="PlannedP16">OFFSET(Sheet16!$E$2,0,0,COUNTA(Sheet16!$E:$E),-1)</definedName>
    <definedName name="PlannedP17">OFFSET(Sheet17!$E$2,0,0,COUNTA(Sheet17!$E:$E),-1)</definedName>
    <definedName name="PlannedP18">OFFSET(Sheet18!$E$2,0,0,COUNTA(Sheet18!$E:$E),-1)</definedName>
    <definedName name="PlannedP19">OFFSET(Sheet19!$E$2,0,0,COUNTA(Sheet19!$E:$E),-1)</definedName>
    <definedName name="PlannedP2">OFFSET(Sheet2!$E$2,0,0,COUNTA(Sheet2!$E:$E),-1)</definedName>
    <definedName name="PlannedP20">OFFSET(Sheet20!$E$2,0,0,COUNTA(Sheet20!$E:$E),-1)</definedName>
    <definedName name="PlannedP21">OFFSET(Sheet21!$E$2,0,0,COUNTA(Sheet21!$E:$E),-1)</definedName>
    <definedName name="PlannedP22">OFFSET(Sheet22!$E$2,0,0,COUNTA(Sheet22!$E:$E),-1)</definedName>
    <definedName name="PlannedP23">OFFSET(Sheet23!$E$2,0,0,COUNTA(Sheet23!$E:$E),-1)</definedName>
    <definedName name="PlannedP24">OFFSET(Sheet24!$E$2,0,0,COUNTA(Sheet24!$E:$E),-1)</definedName>
    <definedName name="PlannedP25">OFFSET(Sheet25!$E$2,0,0,COUNTA(Sheet25!$E:$E),-1)</definedName>
    <definedName name="PlannedP26">OFFSET(Sheet26!$E$2,0,0,COUNTA(Sheet26!$E:$E),-1)</definedName>
    <definedName name="PlannedP27">OFFSET(Sheet27!$E$2,0,0,COUNTA(Sheet27!$E:$E),-1)</definedName>
    <definedName name="PlannedP28">OFFSET(Sheet28!$E$2,0,0,COUNTA(Sheet28!$E:$E),-1)</definedName>
    <definedName name="PlannedP29">OFFSET(Sheet29!$E$2,0,0,COUNTA(Sheet29!$E:$E),-1)</definedName>
    <definedName name="PlannedP3">OFFSET(Sheet3!$E$2,0,0,COUNTA(Sheet3!$E:$E),-1)</definedName>
    <definedName name="PlannedP30">OFFSET(Sheet30!$E$2,0,0,COUNTA(Sheet30!$E:$E),-1)</definedName>
    <definedName name="PlannedP31">OFFSET(Sheet31!$E$2,0,0,COUNTA(Sheet31!$E:$E),-1)</definedName>
    <definedName name="PlannedP32">OFFSET(Sheet32!$E$2,0,0,COUNTA(Sheet32!$E:$E),-1)</definedName>
    <definedName name="PlannedP33">OFFSET(Sheet33!$E$2,0,0,COUNTA(Sheet33!$E:$E),-1)</definedName>
    <definedName name="PlannedP34">OFFSET(Sheet34!$E$2,0,0,COUNTA(Sheet34!$E:$E),-1)</definedName>
    <definedName name="PlannedP35">OFFSET(Sheet35!$E$2,0,0,COUNTA(Sheet35!$E:$E),-1)</definedName>
    <definedName name="PlannedP36">OFFSET(Sheet36!$E$2,0,0,COUNTA(Sheet36!$E:$E),-1)</definedName>
    <definedName name="PlannedP37">OFFSET(Sheet37!$E$2,0,0,COUNTA(Sheet37!$E:$E),-1)</definedName>
    <definedName name="PlannedP38">OFFSET(Sheet38!$E$2,0,0,COUNTA(Sheet38!$E:$E),-1)</definedName>
    <definedName name="PlannedP39">OFFSET(Sheet39!$E$2,0,0,COUNTA(Sheet39!$E:$E),-1)</definedName>
    <definedName name="PlannedP4">OFFSET(Sheet4!$E$2,0,0,COUNTA(Sheet4!$E:$E),-1)</definedName>
    <definedName name="PlannedP40">OFFSET(Sheet40!$E$2,0,0,COUNTA(Sheet40!$E:$E),-1)</definedName>
    <definedName name="PlannedP41">OFFSET(Sheet41!$E$2,0,0,COUNTA(Sheet41!$E:$E),-1)</definedName>
    <definedName name="PlannedP42">OFFSET(Sheet42!$E$2,0,0,COUNTA(Sheet42!$E:$E),-1)</definedName>
    <definedName name="PlannedP43">OFFSET(Sheet43!$E$2,0,0,COUNTA(Sheet43!$E:$E),-1)</definedName>
    <definedName name="PlannedP44">OFFSET(Sheet45!$E$2,0,0,COUNTA(Sheet45!$E:$E),-1)</definedName>
    <definedName name="PlannedP45">OFFSET(Sheet45!$E$2,0,0,COUNTA(Sheet45!$E:$E),-1)</definedName>
    <definedName name="PlannedP46">OFFSET(Sheet46!$E$2,0,0,COUNTA(Sheet46!$E:$E),-1)</definedName>
    <definedName name="PlannedP47">OFFSET(Sheet47!$E$2,0,0,COUNTA(Sheet47!$E:$E),-1)</definedName>
    <definedName name="PlannedP48">OFFSET(Sheet48!$E$2,0,0,COUNTA(Sheet48!$E:$E),-1)</definedName>
    <definedName name="PlannedP49">OFFSET(Sheet49!$E$2,0,0,COUNTA(Sheet49!$E:$E),-1)</definedName>
    <definedName name="PlannedP5">OFFSET(Sheet5!$E$2,0,0,COUNTA(Sheet5!$E:$E),-1)</definedName>
    <definedName name="PlannedP50">OFFSET(Sheet50!$E$2,0,0,COUNTA(Sheet50!$E:$E),-1)</definedName>
    <definedName name="PlannedP6">OFFSET(Sheet6!$E$2,0,0,COUNTA(Sheet6!$E:$E),-1)</definedName>
    <definedName name="PlannedP7">OFFSET(Sheet7!$E$2,0,0,COUNTA(Sheet7!$E:$E),-1)</definedName>
    <definedName name="PlannedP8">OFFSET(Sheet8!$E$2,0,0,COUNTA(Sheet8!$E:$E),-1)</definedName>
    <definedName name="PlannedP9">OFFSET(Sheet9!$E$2,0,0,COUNTA(Sheet9!$E:$E),-1)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32" l="1"/>
  <c r="F6" i="130"/>
  <c r="G52" i="130"/>
  <c r="G51" i="130"/>
  <c r="G50" i="130"/>
  <c r="G49" i="130"/>
  <c r="G48" i="130"/>
  <c r="G47" i="130"/>
  <c r="G46" i="130"/>
  <c r="G45" i="130"/>
  <c r="G44" i="130"/>
  <c r="G43" i="130"/>
  <c r="G42" i="130"/>
  <c r="G41" i="130"/>
  <c r="G40" i="130"/>
  <c r="G39" i="130"/>
  <c r="G38" i="130"/>
  <c r="G37" i="130"/>
  <c r="G36" i="130"/>
  <c r="G35" i="130"/>
  <c r="G34" i="130"/>
  <c r="G33" i="130"/>
  <c r="G32" i="130"/>
  <c r="G31" i="130"/>
  <c r="G30" i="130"/>
  <c r="G29" i="130"/>
  <c r="G28" i="130"/>
  <c r="G27" i="130"/>
  <c r="G26" i="130"/>
  <c r="G25" i="130"/>
  <c r="G24" i="130"/>
  <c r="G23" i="130"/>
  <c r="G22" i="130"/>
  <c r="G21" i="130"/>
  <c r="G20" i="130"/>
  <c r="G19" i="130"/>
  <c r="G18" i="130"/>
  <c r="G17" i="130"/>
  <c r="G16" i="130"/>
  <c r="G15" i="130"/>
  <c r="G14" i="130"/>
  <c r="G13" i="130"/>
  <c r="G12" i="130"/>
  <c r="G11" i="130"/>
  <c r="G10" i="130"/>
  <c r="G9" i="130"/>
  <c r="G8" i="130"/>
  <c r="G7" i="130"/>
  <c r="G6" i="130"/>
  <c r="G5" i="130"/>
  <c r="G4" i="130"/>
  <c r="G3" i="130"/>
  <c r="F52" i="130"/>
  <c r="F51" i="130"/>
  <c r="F50" i="130"/>
  <c r="F49" i="130"/>
  <c r="F48" i="130"/>
  <c r="F47" i="130"/>
  <c r="F46" i="130"/>
  <c r="F45" i="130"/>
  <c r="F44" i="130"/>
  <c r="F43" i="130"/>
  <c r="F42" i="130"/>
  <c r="F41" i="130"/>
  <c r="F40" i="130"/>
  <c r="F39" i="130"/>
  <c r="F38" i="130"/>
  <c r="F37" i="130"/>
  <c r="F36" i="130"/>
  <c r="F35" i="130"/>
  <c r="F34" i="130"/>
  <c r="F33" i="130"/>
  <c r="F32" i="130"/>
  <c r="F31" i="130"/>
  <c r="F30" i="130"/>
  <c r="F29" i="130"/>
  <c r="F28" i="130"/>
  <c r="F27" i="130"/>
  <c r="F26" i="130"/>
  <c r="F25" i="130"/>
  <c r="F24" i="130"/>
  <c r="F23" i="130"/>
  <c r="F22" i="130"/>
  <c r="F21" i="130"/>
  <c r="F20" i="130"/>
  <c r="F19" i="130"/>
  <c r="F18" i="130"/>
  <c r="F17" i="130"/>
  <c r="F16" i="130"/>
  <c r="F15" i="130"/>
  <c r="F14" i="130"/>
  <c r="F13" i="130"/>
  <c r="F12" i="130"/>
  <c r="F11" i="130"/>
  <c r="F10" i="130"/>
  <c r="F9" i="130"/>
  <c r="F8" i="130"/>
  <c r="F7" i="130"/>
  <c r="F5" i="130"/>
  <c r="F4" i="130"/>
  <c r="F3" i="130"/>
  <c r="D52" i="130"/>
  <c r="D51" i="130"/>
  <c r="D50" i="130"/>
  <c r="D49" i="130"/>
  <c r="D48" i="130"/>
  <c r="D47" i="130"/>
  <c r="D46" i="130"/>
  <c r="D45" i="130"/>
  <c r="D44" i="130"/>
  <c r="D43" i="130"/>
  <c r="D42" i="130"/>
  <c r="D41" i="130"/>
  <c r="D40" i="130"/>
  <c r="D39" i="130"/>
  <c r="D38" i="130"/>
  <c r="D37" i="130"/>
  <c r="D36" i="130"/>
  <c r="D35" i="130"/>
  <c r="D34" i="130"/>
  <c r="D33" i="130"/>
  <c r="D32" i="130"/>
  <c r="D31" i="130"/>
  <c r="D30" i="130"/>
  <c r="D29" i="130"/>
  <c r="D28" i="130"/>
  <c r="D27" i="130"/>
  <c r="D26" i="130"/>
  <c r="D25" i="130"/>
  <c r="D24" i="130"/>
  <c r="D23" i="130"/>
  <c r="D22" i="130"/>
  <c r="D21" i="130"/>
  <c r="D20" i="130"/>
  <c r="D19" i="130"/>
  <c r="D18" i="130"/>
  <c r="D17" i="130"/>
  <c r="D16" i="130"/>
  <c r="D15" i="130"/>
  <c r="D14" i="130"/>
  <c r="D13" i="130"/>
  <c r="D12" i="130"/>
  <c r="D11" i="130"/>
  <c r="D10" i="130"/>
  <c r="D9" i="130"/>
  <c r="D8" i="130"/>
  <c r="D7" i="130"/>
  <c r="D6" i="130"/>
  <c r="D5" i="130"/>
  <c r="D4" i="130"/>
  <c r="B52" i="130"/>
  <c r="B51" i="130"/>
  <c r="B50" i="130"/>
  <c r="B49" i="130"/>
  <c r="B48" i="130"/>
  <c r="B47" i="130"/>
  <c r="B46" i="130"/>
  <c r="B45" i="130"/>
  <c r="B44" i="130"/>
  <c r="B43" i="130"/>
  <c r="B42" i="130"/>
  <c r="B41" i="130"/>
  <c r="B40" i="130"/>
  <c r="B39" i="130"/>
  <c r="B38" i="130"/>
  <c r="B37" i="130"/>
  <c r="B36" i="130"/>
  <c r="B35" i="130"/>
  <c r="B34" i="130"/>
  <c r="B33" i="130"/>
  <c r="B32" i="130"/>
  <c r="B31" i="130"/>
  <c r="B30" i="130"/>
  <c r="B29" i="130"/>
  <c r="B28" i="130"/>
  <c r="B27" i="130"/>
  <c r="B26" i="130"/>
  <c r="B25" i="130"/>
  <c r="B24" i="130"/>
  <c r="B23" i="130"/>
  <c r="B22" i="130"/>
  <c r="B21" i="130"/>
  <c r="B20" i="130"/>
  <c r="B19" i="130"/>
  <c r="B18" i="130"/>
  <c r="B17" i="130"/>
  <c r="B16" i="130"/>
  <c r="B15" i="130"/>
  <c r="B14" i="130"/>
  <c r="B13" i="130"/>
  <c r="B12" i="130"/>
  <c r="B11" i="130"/>
  <c r="B10" i="130"/>
  <c r="B9" i="130"/>
  <c r="B8" i="130"/>
  <c r="B7" i="130"/>
  <c r="B6" i="130"/>
  <c r="B5" i="130"/>
  <c r="B4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C52" i="130"/>
  <c r="C51" i="130"/>
  <c r="C50" i="130"/>
  <c r="C49" i="130"/>
  <c r="C48" i="130"/>
  <c r="C47" i="130"/>
  <c r="C46" i="130"/>
  <c r="C45" i="130"/>
  <c r="C44" i="130"/>
  <c r="C43" i="130"/>
  <c r="C42" i="130"/>
  <c r="C41" i="130"/>
  <c r="C40" i="130"/>
  <c r="C39" i="130"/>
  <c r="C38" i="130"/>
  <c r="C37" i="130"/>
  <c r="C36" i="130"/>
  <c r="C35" i="130"/>
  <c r="C34" i="130"/>
  <c r="C33" i="130"/>
  <c r="C32" i="130"/>
  <c r="C31" i="130"/>
  <c r="C30" i="130"/>
  <c r="C29" i="130"/>
  <c r="C28" i="130"/>
  <c r="C27" i="130"/>
  <c r="C26" i="130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K4" i="299"/>
  <c r="K3" i="299"/>
  <c r="K2" i="299"/>
  <c r="G2" i="299"/>
  <c r="H2" i="299" s="1"/>
  <c r="D2" i="299"/>
  <c r="C2" i="299"/>
  <c r="N1" i="299"/>
  <c r="M1" i="299"/>
  <c r="K4" i="298"/>
  <c r="K3" i="298"/>
  <c r="K2" i="298"/>
  <c r="G2" i="298"/>
  <c r="H2" i="298" s="1"/>
  <c r="D2" i="298"/>
  <c r="C2" i="298"/>
  <c r="N1" i="298"/>
  <c r="M1" i="298"/>
  <c r="K4" i="297"/>
  <c r="K3" i="297"/>
  <c r="K2" i="297"/>
  <c r="G2" i="297"/>
  <c r="H2" i="297" s="1"/>
  <c r="D2" i="297"/>
  <c r="C2" i="297"/>
  <c r="N1" i="297"/>
  <c r="M1" i="297"/>
  <c r="K4" i="296"/>
  <c r="K3" i="296"/>
  <c r="K2" i="296"/>
  <c r="G2" i="296"/>
  <c r="H2" i="296" s="1"/>
  <c r="D2" i="296"/>
  <c r="C2" i="296"/>
  <c r="N1" i="296"/>
  <c r="M1" i="296"/>
  <c r="K4" i="295"/>
  <c r="K3" i="295"/>
  <c r="K2" i="295"/>
  <c r="G2" i="295"/>
  <c r="H2" i="295" s="1"/>
  <c r="D2" i="295"/>
  <c r="C2" i="295"/>
  <c r="N1" i="295"/>
  <c r="M1" i="295"/>
  <c r="K4" i="294"/>
  <c r="K3" i="294"/>
  <c r="K2" i="294"/>
  <c r="G2" i="294"/>
  <c r="E2" i="294" s="1"/>
  <c r="D2" i="294"/>
  <c r="C2" i="294"/>
  <c r="N1" i="294"/>
  <c r="M1" i="294"/>
  <c r="K4" i="293"/>
  <c r="K3" i="293"/>
  <c r="K2" i="293"/>
  <c r="G2" i="293"/>
  <c r="H2" i="293" s="1"/>
  <c r="D2" i="293"/>
  <c r="C2" i="293"/>
  <c r="N1" i="293"/>
  <c r="M1" i="293"/>
  <c r="K4" i="292"/>
  <c r="K3" i="292"/>
  <c r="K2" i="292"/>
  <c r="G2" i="292"/>
  <c r="H2" i="292" s="1"/>
  <c r="D2" i="292"/>
  <c r="C2" i="292"/>
  <c r="N1" i="292"/>
  <c r="M1" i="292"/>
  <c r="K4" i="291"/>
  <c r="K3" i="291"/>
  <c r="K2" i="291"/>
  <c r="G2" i="291"/>
  <c r="H2" i="291" s="1"/>
  <c r="D2" i="291"/>
  <c r="C2" i="291"/>
  <c r="N1" i="291"/>
  <c r="M1" i="291"/>
  <c r="K4" i="290"/>
  <c r="K3" i="290"/>
  <c r="K2" i="290"/>
  <c r="G2" i="290"/>
  <c r="H2" i="290" s="1"/>
  <c r="D2" i="290"/>
  <c r="C2" i="290"/>
  <c r="N1" i="290"/>
  <c r="M1" i="290"/>
  <c r="K4" i="289"/>
  <c r="K3" i="289"/>
  <c r="K2" i="289"/>
  <c r="G2" i="289"/>
  <c r="F2" i="289" s="1"/>
  <c r="D2" i="289"/>
  <c r="C2" i="289"/>
  <c r="N1" i="289"/>
  <c r="M1" i="289"/>
  <c r="K4" i="288"/>
  <c r="K3" i="288"/>
  <c r="K2" i="288"/>
  <c r="G2" i="288"/>
  <c r="H2" i="288" s="1"/>
  <c r="D2" i="288"/>
  <c r="C2" i="288"/>
  <c r="N1" i="288"/>
  <c r="M1" i="288"/>
  <c r="K4" i="287"/>
  <c r="K3" i="287"/>
  <c r="K2" i="287"/>
  <c r="G2" i="287"/>
  <c r="H2" i="287" s="1"/>
  <c r="D2" i="287"/>
  <c r="C2" i="287"/>
  <c r="N1" i="287"/>
  <c r="M1" i="287"/>
  <c r="K4" i="286"/>
  <c r="K3" i="286"/>
  <c r="K2" i="286"/>
  <c r="G2" i="286"/>
  <c r="H2" i="286" s="1"/>
  <c r="D2" i="286"/>
  <c r="C2" i="286"/>
  <c r="N1" i="286"/>
  <c r="M1" i="286"/>
  <c r="K4" i="285"/>
  <c r="K3" i="285"/>
  <c r="K2" i="285"/>
  <c r="G2" i="285"/>
  <c r="H2" i="285" s="1"/>
  <c r="D2" i="285"/>
  <c r="C2" i="285"/>
  <c r="N1" i="285"/>
  <c r="M1" i="285"/>
  <c r="K4" i="284"/>
  <c r="K3" i="284"/>
  <c r="K2" i="284"/>
  <c r="G2" i="284"/>
  <c r="H2" i="284" s="1"/>
  <c r="D2" i="284"/>
  <c r="C2" i="284"/>
  <c r="N1" i="284"/>
  <c r="M1" i="284"/>
  <c r="K4" i="283"/>
  <c r="K3" i="283"/>
  <c r="K2" i="283"/>
  <c r="G2" i="283"/>
  <c r="H2" i="283" s="1"/>
  <c r="D2" i="283"/>
  <c r="C2" i="283"/>
  <c r="N1" i="283"/>
  <c r="M1" i="283"/>
  <c r="K4" i="282"/>
  <c r="K3" i="282"/>
  <c r="K2" i="282"/>
  <c r="G2" i="282"/>
  <c r="H2" i="282" s="1"/>
  <c r="D2" i="282"/>
  <c r="C2" i="282"/>
  <c r="N1" i="282"/>
  <c r="M1" i="282"/>
  <c r="K4" i="281"/>
  <c r="K3" i="281"/>
  <c r="K2" i="281"/>
  <c r="G2" i="281"/>
  <c r="H2" i="281" s="1"/>
  <c r="D2" i="281"/>
  <c r="C2" i="281"/>
  <c r="N1" i="281"/>
  <c r="M1" i="281"/>
  <c r="K4" i="280"/>
  <c r="K3" i="280"/>
  <c r="K2" i="280"/>
  <c r="G2" i="280"/>
  <c r="H2" i="280" s="1"/>
  <c r="D2" i="280"/>
  <c r="C2" i="280"/>
  <c r="N1" i="280"/>
  <c r="M1" i="280"/>
  <c r="K4" i="279"/>
  <c r="K3" i="279"/>
  <c r="K2" i="279"/>
  <c r="G2" i="279"/>
  <c r="H2" i="279" s="1"/>
  <c r="D2" i="279"/>
  <c r="C2" i="279"/>
  <c r="N1" i="279"/>
  <c r="M1" i="279"/>
  <c r="K4" i="278"/>
  <c r="K3" i="278"/>
  <c r="K2" i="278"/>
  <c r="G2" i="278"/>
  <c r="H2" i="278" s="1"/>
  <c r="D2" i="278"/>
  <c r="C2" i="278"/>
  <c r="N1" i="278"/>
  <c r="M1" i="278"/>
  <c r="K4" i="277"/>
  <c r="K3" i="277"/>
  <c r="K2" i="277"/>
  <c r="G2" i="277"/>
  <c r="F2" i="277" s="1"/>
  <c r="D2" i="277"/>
  <c r="C2" i="277"/>
  <c r="N1" i="277"/>
  <c r="M1" i="277"/>
  <c r="K4" i="276"/>
  <c r="K3" i="276"/>
  <c r="K2" i="276"/>
  <c r="G2" i="276"/>
  <c r="H2" i="276" s="1"/>
  <c r="D2" i="276"/>
  <c r="C2" i="276"/>
  <c r="N1" i="276"/>
  <c r="M1" i="276"/>
  <c r="K4" i="275"/>
  <c r="K3" i="275"/>
  <c r="K2" i="275"/>
  <c r="G2" i="275"/>
  <c r="H2" i="275" s="1"/>
  <c r="D2" i="275"/>
  <c r="C2" i="275"/>
  <c r="N1" i="275"/>
  <c r="M1" i="275"/>
  <c r="K4" i="274"/>
  <c r="K3" i="274"/>
  <c r="K2" i="274"/>
  <c r="G2" i="274"/>
  <c r="H2" i="274" s="1"/>
  <c r="D2" i="274"/>
  <c r="C2" i="274"/>
  <c r="N1" i="274"/>
  <c r="M1" i="274"/>
  <c r="K4" i="273"/>
  <c r="K3" i="273"/>
  <c r="K2" i="273"/>
  <c r="G2" i="273"/>
  <c r="H2" i="273" s="1"/>
  <c r="D2" i="273"/>
  <c r="C2" i="273"/>
  <c r="N1" i="273"/>
  <c r="M1" i="273"/>
  <c r="K4" i="272"/>
  <c r="K3" i="272"/>
  <c r="K2" i="272"/>
  <c r="G2" i="272"/>
  <c r="H2" i="272" s="1"/>
  <c r="D2" i="272"/>
  <c r="C2" i="272"/>
  <c r="N1" i="272"/>
  <c r="M1" i="272"/>
  <c r="K4" i="271"/>
  <c r="K3" i="271"/>
  <c r="K2" i="271"/>
  <c r="G2" i="271"/>
  <c r="H2" i="271" s="1"/>
  <c r="D2" i="271"/>
  <c r="C2" i="271"/>
  <c r="N1" i="271"/>
  <c r="M1" i="271"/>
  <c r="K4" i="270"/>
  <c r="K3" i="270"/>
  <c r="K2" i="270"/>
  <c r="G2" i="270"/>
  <c r="F2" i="270" s="1"/>
  <c r="D2" i="270"/>
  <c r="C2" i="270"/>
  <c r="N1" i="270"/>
  <c r="M1" i="270"/>
  <c r="K4" i="269"/>
  <c r="K3" i="269"/>
  <c r="K2" i="269"/>
  <c r="G2" i="269"/>
  <c r="H2" i="269" s="1"/>
  <c r="D2" i="269"/>
  <c r="C2" i="269"/>
  <c r="N1" i="269"/>
  <c r="M1" i="269"/>
  <c r="K4" i="268"/>
  <c r="K3" i="268"/>
  <c r="K2" i="268"/>
  <c r="G2" i="268"/>
  <c r="H2" i="268" s="1"/>
  <c r="D2" i="268"/>
  <c r="C2" i="268"/>
  <c r="N1" i="268"/>
  <c r="M1" i="268"/>
  <c r="K4" i="267"/>
  <c r="K3" i="267"/>
  <c r="K2" i="267"/>
  <c r="G2" i="267"/>
  <c r="H2" i="267" s="1"/>
  <c r="D2" i="267"/>
  <c r="C2" i="267"/>
  <c r="N1" i="267"/>
  <c r="M1" i="267"/>
  <c r="K4" i="266"/>
  <c r="K3" i="266"/>
  <c r="K2" i="266"/>
  <c r="G2" i="266"/>
  <c r="H2" i="266" s="1"/>
  <c r="D2" i="266"/>
  <c r="C2" i="266"/>
  <c r="N1" i="266"/>
  <c r="M1" i="266"/>
  <c r="K4" i="265"/>
  <c r="K3" i="265"/>
  <c r="K2" i="265"/>
  <c r="G2" i="265"/>
  <c r="H2" i="265" s="1"/>
  <c r="D2" i="265"/>
  <c r="C2" i="265"/>
  <c r="N1" i="265"/>
  <c r="M1" i="265"/>
  <c r="K4" i="264"/>
  <c r="K3" i="264"/>
  <c r="K2" i="264"/>
  <c r="G2" i="264"/>
  <c r="H2" i="264" s="1"/>
  <c r="D2" i="264"/>
  <c r="C2" i="264"/>
  <c r="N1" i="264"/>
  <c r="M1" i="264"/>
  <c r="K4" i="263"/>
  <c r="K3" i="263"/>
  <c r="K2" i="263"/>
  <c r="G2" i="263"/>
  <c r="H2" i="263" s="1"/>
  <c r="D2" i="263"/>
  <c r="C2" i="263"/>
  <c r="N1" i="263"/>
  <c r="M1" i="263"/>
  <c r="K4" i="262"/>
  <c r="K3" i="262"/>
  <c r="K2" i="262"/>
  <c r="G2" i="262"/>
  <c r="H2" i="262" s="1"/>
  <c r="D2" i="262"/>
  <c r="C2" i="262"/>
  <c r="N1" i="262"/>
  <c r="M1" i="262"/>
  <c r="K4" i="261"/>
  <c r="K3" i="261"/>
  <c r="K2" i="261"/>
  <c r="G2" i="261"/>
  <c r="H2" i="261" s="1"/>
  <c r="D2" i="261"/>
  <c r="C2" i="261"/>
  <c r="N1" i="261"/>
  <c r="M1" i="261"/>
  <c r="K4" i="260"/>
  <c r="K3" i="260"/>
  <c r="K2" i="260"/>
  <c r="G2" i="260"/>
  <c r="H2" i="260" s="1"/>
  <c r="D2" i="260"/>
  <c r="C2" i="260"/>
  <c r="N1" i="260"/>
  <c r="M1" i="260"/>
  <c r="K4" i="259"/>
  <c r="K3" i="259"/>
  <c r="K2" i="259"/>
  <c r="G2" i="259"/>
  <c r="F2" i="259" s="1"/>
  <c r="D2" i="259"/>
  <c r="C2" i="259"/>
  <c r="N1" i="259"/>
  <c r="M1" i="259"/>
  <c r="K4" i="258"/>
  <c r="K3" i="258"/>
  <c r="K2" i="258"/>
  <c r="G2" i="258"/>
  <c r="H2" i="258" s="1"/>
  <c r="D2" i="258"/>
  <c r="C2" i="258"/>
  <c r="N1" i="258"/>
  <c r="M1" i="258"/>
  <c r="K4" i="257"/>
  <c r="K3" i="257"/>
  <c r="K2" i="257"/>
  <c r="G2" i="257"/>
  <c r="F2" i="257" s="1"/>
  <c r="D2" i="257"/>
  <c r="C2" i="257"/>
  <c r="N1" i="257"/>
  <c r="M1" i="257"/>
  <c r="K4" i="256"/>
  <c r="K3" i="256"/>
  <c r="K2" i="256"/>
  <c r="G2" i="256"/>
  <c r="H2" i="256" s="1"/>
  <c r="D2" i="256"/>
  <c r="C2" i="256"/>
  <c r="N1" i="256"/>
  <c r="M1" i="256"/>
  <c r="K4" i="255"/>
  <c r="K3" i="255"/>
  <c r="K2" i="255"/>
  <c r="G2" i="255"/>
  <c r="H2" i="255" s="1"/>
  <c r="D2" i="255"/>
  <c r="C2" i="255"/>
  <c r="N1" i="255"/>
  <c r="M1" i="255"/>
  <c r="K4" i="254"/>
  <c r="K3" i="254"/>
  <c r="K2" i="254"/>
  <c r="G2" i="254"/>
  <c r="H2" i="254" s="1"/>
  <c r="D2" i="254"/>
  <c r="C2" i="254"/>
  <c r="N1" i="254"/>
  <c r="M1" i="254"/>
  <c r="K4" i="253"/>
  <c r="K3" i="253"/>
  <c r="K2" i="253"/>
  <c r="G2" i="253"/>
  <c r="H2" i="253" s="1"/>
  <c r="D2" i="253"/>
  <c r="C2" i="253"/>
  <c r="N1" i="253"/>
  <c r="M1" i="253"/>
  <c r="K4" i="252"/>
  <c r="K3" i="252"/>
  <c r="K2" i="252"/>
  <c r="G2" i="252"/>
  <c r="H2" i="252" s="1"/>
  <c r="D2" i="252"/>
  <c r="C2" i="252"/>
  <c r="N1" i="252"/>
  <c r="M1" i="252"/>
  <c r="K4" i="251"/>
  <c r="K3" i="251"/>
  <c r="K2" i="251"/>
  <c r="G2" i="251"/>
  <c r="H2" i="251" s="1"/>
  <c r="D2" i="251"/>
  <c r="C2" i="251"/>
  <c r="N1" i="251"/>
  <c r="M1" i="251"/>
  <c r="M1" i="250"/>
  <c r="Q3" i="130"/>
  <c r="E52" i="130" l="1"/>
  <c r="H33" i="130"/>
  <c r="F2" i="287"/>
  <c r="I27" i="130"/>
  <c r="H5" i="130"/>
  <c r="I35" i="130"/>
  <c r="J13" i="130"/>
  <c r="E20" i="130"/>
  <c r="E28" i="130"/>
  <c r="E36" i="130"/>
  <c r="K36" i="130" s="1"/>
  <c r="E44" i="130"/>
  <c r="E45" i="130"/>
  <c r="E37" i="130"/>
  <c r="E6" i="130"/>
  <c r="E14" i="130"/>
  <c r="E22" i="130"/>
  <c r="E30" i="130"/>
  <c r="E38" i="130"/>
  <c r="K38" i="130" s="1"/>
  <c r="E46" i="130"/>
  <c r="E12" i="130"/>
  <c r="H2" i="259"/>
  <c r="E7" i="130"/>
  <c r="E15" i="130"/>
  <c r="E23" i="130"/>
  <c r="E31" i="130"/>
  <c r="E39" i="130"/>
  <c r="K39" i="130" s="1"/>
  <c r="E47" i="130"/>
  <c r="E29" i="130"/>
  <c r="E8" i="130"/>
  <c r="E16" i="130"/>
  <c r="E24" i="130"/>
  <c r="E32" i="130"/>
  <c r="E40" i="130"/>
  <c r="E48" i="130"/>
  <c r="K48" i="130" s="1"/>
  <c r="E4" i="130"/>
  <c r="E13" i="130"/>
  <c r="E25" i="130"/>
  <c r="E33" i="130"/>
  <c r="E41" i="130"/>
  <c r="E49" i="130"/>
  <c r="E5" i="130"/>
  <c r="K5" i="130" s="1"/>
  <c r="E17" i="130"/>
  <c r="E10" i="130"/>
  <c r="E18" i="130"/>
  <c r="E26" i="130"/>
  <c r="E34" i="130"/>
  <c r="E42" i="130"/>
  <c r="E50" i="130"/>
  <c r="K29" i="130"/>
  <c r="E21" i="130"/>
  <c r="E9" i="130"/>
  <c r="E11" i="130"/>
  <c r="E19" i="130"/>
  <c r="E27" i="130"/>
  <c r="E35" i="130"/>
  <c r="E43" i="130"/>
  <c r="E51" i="130"/>
  <c r="K51" i="130" s="1"/>
  <c r="E2" i="255"/>
  <c r="E2" i="265"/>
  <c r="E2" i="280"/>
  <c r="E2" i="274"/>
  <c r="E2" i="297"/>
  <c r="E2" i="259"/>
  <c r="E2" i="282"/>
  <c r="H2" i="270"/>
  <c r="F2" i="285"/>
  <c r="E2" i="269"/>
  <c r="E2" i="289"/>
  <c r="E2" i="272"/>
  <c r="H2" i="289"/>
  <c r="F2" i="294"/>
  <c r="H47" i="130"/>
  <c r="H19" i="130"/>
  <c r="E2" i="275"/>
  <c r="E2" i="286"/>
  <c r="E2" i="263"/>
  <c r="E2" i="279"/>
  <c r="F2" i="286"/>
  <c r="H2" i="294"/>
  <c r="E2" i="295"/>
  <c r="H2" i="257"/>
  <c r="E2" i="281"/>
  <c r="E2" i="299"/>
  <c r="E2" i="257"/>
  <c r="F2" i="281"/>
  <c r="F2" i="299"/>
  <c r="E2" i="271"/>
  <c r="E2" i="291"/>
  <c r="E2" i="283"/>
  <c r="I24" i="130"/>
  <c r="K50" i="130"/>
  <c r="J42" i="130"/>
  <c r="J10" i="130"/>
  <c r="I22" i="130"/>
  <c r="E2" i="298"/>
  <c r="F2" i="298"/>
  <c r="F2" i="297"/>
  <c r="E2" i="296"/>
  <c r="F2" i="296"/>
  <c r="F2" i="295"/>
  <c r="E2" i="293"/>
  <c r="F2" i="293"/>
  <c r="E2" i="292"/>
  <c r="F2" i="292"/>
  <c r="F2" i="291"/>
  <c r="E2" i="290"/>
  <c r="F2" i="290"/>
  <c r="E2" i="288"/>
  <c r="F2" i="288"/>
  <c r="E2" i="287"/>
  <c r="E2" i="285"/>
  <c r="E2" i="284"/>
  <c r="F2" i="284"/>
  <c r="F2" i="283"/>
  <c r="F2" i="282"/>
  <c r="F2" i="280"/>
  <c r="F2" i="279"/>
  <c r="E2" i="278"/>
  <c r="F2" i="278"/>
  <c r="E2" i="277"/>
  <c r="H2" i="277"/>
  <c r="E2" i="276"/>
  <c r="F2" i="276"/>
  <c r="F2" i="275"/>
  <c r="F2" i="274"/>
  <c r="E2" i="273"/>
  <c r="F2" i="273"/>
  <c r="F2" i="272"/>
  <c r="F2" i="271"/>
  <c r="E2" i="270"/>
  <c r="F2" i="269"/>
  <c r="E2" i="268"/>
  <c r="F2" i="268"/>
  <c r="E2" i="267"/>
  <c r="F2" i="267"/>
  <c r="E2" i="266"/>
  <c r="F2" i="266"/>
  <c r="F2" i="265"/>
  <c r="E2" i="264"/>
  <c r="F2" i="264"/>
  <c r="F2" i="263"/>
  <c r="E2" i="262"/>
  <c r="F2" i="262"/>
  <c r="E2" i="261"/>
  <c r="F2" i="261"/>
  <c r="F2" i="260"/>
  <c r="E2" i="260"/>
  <c r="E2" i="258"/>
  <c r="F2" i="258"/>
  <c r="E2" i="256"/>
  <c r="F2" i="256"/>
  <c r="F2" i="255"/>
  <c r="E2" i="254"/>
  <c r="F2" i="254"/>
  <c r="E2" i="253"/>
  <c r="F2" i="253"/>
  <c r="E2" i="252"/>
  <c r="F2" i="252"/>
  <c r="E2" i="251"/>
  <c r="F2" i="251"/>
  <c r="Q1" i="130"/>
  <c r="J23" i="130" s="1"/>
  <c r="G2" i="250"/>
  <c r="H2" i="250" s="1"/>
  <c r="D2" i="250"/>
  <c r="C2" i="250"/>
  <c r="I18" i="130" l="1"/>
  <c r="J6" i="130"/>
  <c r="J38" i="130"/>
  <c r="K22" i="130"/>
  <c r="I20" i="130"/>
  <c r="I52" i="130"/>
  <c r="H16" i="130"/>
  <c r="H44" i="130"/>
  <c r="K21" i="130"/>
  <c r="K17" i="130"/>
  <c r="K4" i="130"/>
  <c r="K47" i="130"/>
  <c r="K46" i="130"/>
  <c r="K44" i="130"/>
  <c r="I13" i="130"/>
  <c r="I33" i="130"/>
  <c r="H29" i="130"/>
  <c r="J27" i="130"/>
  <c r="J41" i="130"/>
  <c r="J32" i="130"/>
  <c r="I26" i="130"/>
  <c r="J14" i="130"/>
  <c r="J46" i="130"/>
  <c r="H28" i="130"/>
  <c r="I28" i="130"/>
  <c r="H20" i="130"/>
  <c r="H52" i="130"/>
  <c r="K43" i="130"/>
  <c r="K33" i="130"/>
  <c r="K40" i="130"/>
  <c r="K31" i="130"/>
  <c r="L31" i="130" s="1"/>
  <c r="K30" i="130"/>
  <c r="K28" i="130"/>
  <c r="I19" i="130"/>
  <c r="J40" i="130"/>
  <c r="J52" i="130"/>
  <c r="H9" i="130"/>
  <c r="H45" i="130"/>
  <c r="L5" i="130"/>
  <c r="I30" i="130"/>
  <c r="J18" i="130"/>
  <c r="J50" i="130"/>
  <c r="J51" i="130"/>
  <c r="I32" i="130"/>
  <c r="H4" i="130"/>
  <c r="H27" i="130"/>
  <c r="K35" i="130"/>
  <c r="L35" i="130" s="1"/>
  <c r="K42" i="130"/>
  <c r="K49" i="130"/>
  <c r="K32" i="130"/>
  <c r="K23" i="130"/>
  <c r="K20" i="130"/>
  <c r="I23" i="130"/>
  <c r="I43" i="130"/>
  <c r="L43" i="130" s="1"/>
  <c r="J31" i="130"/>
  <c r="H14" i="130"/>
  <c r="I49" i="130"/>
  <c r="H21" i="130"/>
  <c r="I34" i="130"/>
  <c r="J22" i="130"/>
  <c r="I51" i="130"/>
  <c r="L51" i="130" s="1"/>
  <c r="I4" i="130"/>
  <c r="L4" i="130" s="1"/>
  <c r="I36" i="130"/>
  <c r="L36" i="130" s="1"/>
  <c r="H7" i="130"/>
  <c r="H31" i="130"/>
  <c r="K27" i="130"/>
  <c r="L27" i="130" s="1"/>
  <c r="K34" i="130"/>
  <c r="K41" i="130"/>
  <c r="K24" i="130"/>
  <c r="K15" i="130"/>
  <c r="I7" i="130"/>
  <c r="J24" i="130"/>
  <c r="J47" i="130"/>
  <c r="J7" i="130"/>
  <c r="H50" i="130"/>
  <c r="I17" i="130"/>
  <c r="H22" i="130"/>
  <c r="L50" i="130"/>
  <c r="I6" i="130"/>
  <c r="L6" i="130" s="1"/>
  <c r="I38" i="130"/>
  <c r="J26" i="130"/>
  <c r="K6" i="130"/>
  <c r="I8" i="130"/>
  <c r="L8" i="130" s="1"/>
  <c r="I40" i="130"/>
  <c r="H8" i="130"/>
  <c r="H36" i="130"/>
  <c r="K19" i="130"/>
  <c r="L19" i="130" s="1"/>
  <c r="K26" i="130"/>
  <c r="K16" i="130"/>
  <c r="K7" i="130"/>
  <c r="I9" i="130"/>
  <c r="J28" i="130"/>
  <c r="J49" i="130"/>
  <c r="H49" i="130"/>
  <c r="H18" i="130"/>
  <c r="H6" i="130"/>
  <c r="I5" i="130"/>
  <c r="J16" i="130"/>
  <c r="I25" i="130"/>
  <c r="H37" i="130"/>
  <c r="H43" i="130"/>
  <c r="J5" i="130"/>
  <c r="H17" i="130"/>
  <c r="H26" i="130"/>
  <c r="I37" i="130"/>
  <c r="J44" i="130"/>
  <c r="J4" i="130"/>
  <c r="J8" i="130"/>
  <c r="J17" i="130"/>
  <c r="H30" i="130"/>
  <c r="J37" i="130"/>
  <c r="I45" i="130"/>
  <c r="J43" i="130"/>
  <c r="I31" i="130"/>
  <c r="J9" i="130"/>
  <c r="J19" i="130"/>
  <c r="H32" i="130"/>
  <c r="H38" i="130"/>
  <c r="H46" i="130"/>
  <c r="I39" i="130"/>
  <c r="L39" i="130" s="1"/>
  <c r="H12" i="130"/>
  <c r="J20" i="130"/>
  <c r="H34" i="130"/>
  <c r="J39" i="130"/>
  <c r="J48" i="130"/>
  <c r="I15" i="130"/>
  <c r="I47" i="130"/>
  <c r="J12" i="130"/>
  <c r="J21" i="130"/>
  <c r="J35" i="130"/>
  <c r="I41" i="130"/>
  <c r="H51" i="130"/>
  <c r="J36" i="130"/>
  <c r="I21" i="130"/>
  <c r="H13" i="130"/>
  <c r="H23" i="130"/>
  <c r="H35" i="130"/>
  <c r="H42" i="130"/>
  <c r="H24" i="130"/>
  <c r="I10" i="130"/>
  <c r="L10" i="130" s="1"/>
  <c r="I42" i="130"/>
  <c r="L42" i="130" s="1"/>
  <c r="J30" i="130"/>
  <c r="K10" i="130"/>
  <c r="I12" i="130"/>
  <c r="I44" i="130"/>
  <c r="L44" i="130" s="1"/>
  <c r="H11" i="130"/>
  <c r="H39" i="130"/>
  <c r="K11" i="130"/>
  <c r="L11" i="130" s="1"/>
  <c r="K18" i="130"/>
  <c r="K25" i="130"/>
  <c r="L25" i="130" s="1"/>
  <c r="K8" i="130"/>
  <c r="K37" i="130"/>
  <c r="I11" i="130"/>
  <c r="I29" i="130"/>
  <c r="L29" i="130" s="1"/>
  <c r="I50" i="130"/>
  <c r="H41" i="130"/>
  <c r="H10" i="130"/>
  <c r="J25" i="130"/>
  <c r="J15" i="130"/>
  <c r="I14" i="130"/>
  <c r="I46" i="130"/>
  <c r="J34" i="130"/>
  <c r="K14" i="130"/>
  <c r="I16" i="130"/>
  <c r="L16" i="130" s="1"/>
  <c r="I48" i="130"/>
  <c r="L48" i="130" s="1"/>
  <c r="H15" i="130"/>
  <c r="H40" i="130"/>
  <c r="K9" i="130"/>
  <c r="K13" i="130"/>
  <c r="K12" i="130"/>
  <c r="K45" i="130"/>
  <c r="L45" i="130" s="1"/>
  <c r="J11" i="130"/>
  <c r="J29" i="130"/>
  <c r="K52" i="130"/>
  <c r="H25" i="130"/>
  <c r="J45" i="130"/>
  <c r="H48" i="130"/>
  <c r="J33" i="130"/>
  <c r="L40" i="130"/>
  <c r="L28" i="130"/>
  <c r="L24" i="130"/>
  <c r="L32" i="130"/>
  <c r="L12" i="130"/>
  <c r="L46" i="130"/>
  <c r="L38" i="130"/>
  <c r="L34" i="130"/>
  <c r="L14" i="130"/>
  <c r="L26" i="130"/>
  <c r="L22" i="130"/>
  <c r="L30" i="130"/>
  <c r="F2" i="250"/>
  <c r="E2" i="250"/>
  <c r="L52" i="130" l="1"/>
  <c r="L41" i="130"/>
  <c r="L33" i="130"/>
  <c r="L20" i="130"/>
  <c r="L47" i="130"/>
  <c r="L15" i="130"/>
  <c r="L7" i="130"/>
  <c r="L23" i="130"/>
  <c r="L13" i="130"/>
  <c r="L17" i="130"/>
  <c r="L9" i="130"/>
  <c r="L37" i="130"/>
  <c r="L49" i="130"/>
  <c r="L21" i="130"/>
  <c r="L18" i="130"/>
  <c r="N1" i="250"/>
  <c r="E3" i="130" l="1"/>
  <c r="D3" i="130"/>
  <c r="B3" i="130"/>
  <c r="O51" i="130" l="1"/>
  <c r="O41" i="130"/>
  <c r="O25" i="130"/>
  <c r="M15" i="130"/>
  <c r="O15" i="130"/>
  <c r="O11" i="130"/>
  <c r="M11" i="130"/>
  <c r="K3" i="130"/>
  <c r="I3" i="130"/>
  <c r="H3" i="130"/>
  <c r="J3" i="130"/>
  <c r="K4" i="250"/>
  <c r="K3" i="250"/>
  <c r="K2" i="250"/>
  <c r="O31" i="130" l="1"/>
  <c r="L3" i="130"/>
  <c r="M23" i="130"/>
  <c r="O23" i="130"/>
  <c r="M31" i="130"/>
  <c r="M45" i="130"/>
  <c r="O9" i="130"/>
  <c r="M5" i="130"/>
  <c r="M9" i="130"/>
  <c r="M51" i="130"/>
  <c r="O49" i="130"/>
  <c r="N21" i="130"/>
  <c r="N17" i="130"/>
  <c r="M14" i="130"/>
  <c r="M21" i="130"/>
  <c r="O14" i="130"/>
  <c r="M17" i="130"/>
  <c r="O21" i="130"/>
  <c r="M49" i="130"/>
  <c r="N23" i="130"/>
  <c r="N41" i="130"/>
  <c r="N51" i="130"/>
  <c r="N25" i="130"/>
  <c r="N5" i="130"/>
  <c r="N15" i="130"/>
  <c r="N31" i="130"/>
  <c r="N11" i="130"/>
  <c r="N14" i="130"/>
  <c r="N49" i="130"/>
  <c r="O17" i="130"/>
  <c r="N9" i="130"/>
  <c r="N45" i="130"/>
  <c r="O5" i="130"/>
  <c r="M10" i="130"/>
  <c r="O18" i="130"/>
  <c r="M19" i="130"/>
  <c r="O20" i="130"/>
  <c r="M25" i="130"/>
  <c r="M29" i="130"/>
  <c r="O32" i="130"/>
  <c r="M33" i="130"/>
  <c r="O34" i="130"/>
  <c r="N35" i="130"/>
  <c r="N36" i="130"/>
  <c r="N37" i="130"/>
  <c r="M38" i="130"/>
  <c r="O39" i="130"/>
  <c r="M40" i="130"/>
  <c r="M41" i="130"/>
  <c r="M42" i="130"/>
  <c r="O43" i="130"/>
  <c r="O45" i="130"/>
  <c r="M52" i="130"/>
  <c r="M7" i="130"/>
  <c r="N10" i="130"/>
  <c r="M18" i="130"/>
  <c r="N26" i="130"/>
  <c r="N28" i="130"/>
  <c r="M30" i="130"/>
  <c r="O35" i="130"/>
  <c r="N38" i="130"/>
  <c r="O10" i="130"/>
  <c r="M43" i="130"/>
  <c r="N42" i="130"/>
  <c r="N43" i="130"/>
  <c r="N18" i="130"/>
  <c r="M35" i="130"/>
  <c r="O38" i="130"/>
  <c r="M44" i="130"/>
  <c r="N48" i="130"/>
  <c r="M8" i="130"/>
  <c r="O13" i="130"/>
  <c r="O22" i="130"/>
  <c r="O24" i="130"/>
  <c r="O46" i="130"/>
  <c r="M47" i="130"/>
  <c r="O42" i="130"/>
  <c r="O7" i="130"/>
  <c r="N7" i="130"/>
  <c r="O8" i="130"/>
  <c r="N13" i="130"/>
  <c r="M24" i="130"/>
  <c r="O26" i="130"/>
  <c r="N46" i="130"/>
  <c r="N47" i="130"/>
  <c r="M48" i="130"/>
  <c r="O6" i="130"/>
  <c r="O16" i="130"/>
  <c r="O27" i="130"/>
  <c r="O50" i="130"/>
  <c r="O29" i="130"/>
  <c r="N30" i="130"/>
  <c r="O33" i="130"/>
  <c r="M13" i="130"/>
  <c r="N22" i="130"/>
  <c r="M46" i="130"/>
  <c r="N32" i="130"/>
  <c r="M34" i="130"/>
  <c r="M16" i="130"/>
  <c r="N44" i="130"/>
  <c r="M39" i="130"/>
  <c r="O19" i="130"/>
  <c r="N19" i="130"/>
  <c r="M20" i="130"/>
  <c r="M32" i="130"/>
  <c r="M36" i="130"/>
  <c r="M37" i="130"/>
  <c r="N39" i="130"/>
  <c r="N40" i="130"/>
  <c r="O40" i="130"/>
  <c r="O28" i="130"/>
  <c r="O37" i="130"/>
  <c r="N50" i="130"/>
  <c r="M26" i="130"/>
  <c r="N6" i="130"/>
  <c r="N16" i="130"/>
  <c r="N20" i="130"/>
  <c r="N27" i="130"/>
  <c r="M28" i="130"/>
  <c r="N33" i="130"/>
  <c r="M50" i="130"/>
  <c r="O36" i="130"/>
  <c r="M6" i="130"/>
  <c r="N8" i="130"/>
  <c r="M22" i="130"/>
  <c r="N24" i="130"/>
  <c r="N29" i="130"/>
  <c r="O47" i="130"/>
  <c r="O48" i="130"/>
  <c r="N52" i="130"/>
  <c r="O52" i="130"/>
  <c r="O44" i="130"/>
  <c r="N34" i="130"/>
  <c r="O30" i="130"/>
  <c r="M27" i="130"/>
  <c r="N12" i="130"/>
  <c r="O12" i="130"/>
  <c r="M12" i="130"/>
  <c r="O3" i="130"/>
  <c r="M3" i="130"/>
  <c r="N3" i="130"/>
  <c r="M4" i="130" l="1"/>
  <c r="O4" i="130"/>
  <c r="N4" i="130"/>
</calcChain>
</file>

<file path=xl/sharedStrings.xml><?xml version="1.0" encoding="utf-8"?>
<sst xmlns="http://schemas.openxmlformats.org/spreadsheetml/2006/main" count="632" uniqueCount="35">
  <si>
    <t>Average</t>
  </si>
  <si>
    <t>Diameter (mm)</t>
  </si>
  <si>
    <t>Depths (m)</t>
  </si>
  <si>
    <t xml:space="preserve">Charge Mass (Kg) </t>
  </si>
  <si>
    <t>% variations of kg for diameters</t>
  </si>
  <si>
    <t>Inhole density</t>
  </si>
  <si>
    <t>BH No.</t>
  </si>
  <si>
    <t>Minimum</t>
  </si>
  <si>
    <t>Maximum</t>
  </si>
  <si>
    <t xml:space="preserve"> Planned</t>
  </si>
  <si>
    <t xml:space="preserve">From </t>
  </si>
  <si>
    <t>to</t>
  </si>
  <si>
    <t>Planned</t>
  </si>
  <si>
    <t>Hole Number</t>
  </si>
  <si>
    <t>Depth</t>
  </si>
  <si>
    <t>x</t>
  </si>
  <si>
    <t>Planned diameter</t>
  </si>
  <si>
    <t>Actual deviation X</t>
  </si>
  <si>
    <t>MAX</t>
  </si>
  <si>
    <t>MIN</t>
  </si>
  <si>
    <t>AVE</t>
  </si>
  <si>
    <t>Stemming</t>
  </si>
  <si>
    <t>Client:</t>
  </si>
  <si>
    <t>Mine:</t>
  </si>
  <si>
    <t>Block:</t>
  </si>
  <si>
    <t>Hole Diameter:</t>
  </si>
  <si>
    <t>Final Stemming:</t>
  </si>
  <si>
    <t>Rig Operator:</t>
  </si>
  <si>
    <t>Date of Calipering:</t>
  </si>
  <si>
    <t>Actual+</t>
  </si>
  <si>
    <t>Actual-</t>
  </si>
  <si>
    <t>Planned+</t>
  </si>
  <si>
    <t>Planned-</t>
  </si>
  <si>
    <t>Deviation: Ave vs. Plan</t>
  </si>
  <si>
    <t>Average In-hole Density: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</si>
</sst>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" fillId="0" borderId="0" applyFont="0" applyFill="0" applyBorder="0" applyAlignment="0" applyProtection="0"/>
  </cellStyleXfs>
  <cellXfs count="90">
    <xf numFmtId="0" fontId="0" fillId="0" borderId="0" xfId="0"/>
    <xf numFmtId="2" fontId="0" fillId="0" borderId="10" xfId="0" applyNumberFormat="1" applyBorder="1"/>
    <xf numFmtId="0" fontId="16" fillId="0" borderId="0" xfId="0" applyFont="1"/>
    <xf numFmtId="2" fontId="0" fillId="0" borderId="0" xfId="0" applyNumberFormat="1"/>
    <xf numFmtId="164" fontId="0" fillId="0" borderId="10" xfId="0" applyNumberFormat="1" applyBorder="1" applyAlignment="1">
      <alignment horizontal="center"/>
    </xf>
    <xf numFmtId="2" fontId="16" fillId="0" borderId="0" xfId="0" applyNumberFormat="1" applyFont="1"/>
    <xf numFmtId="1" fontId="16" fillId="0" borderId="0" xfId="0" applyNumberFormat="1" applyFont="1"/>
    <xf numFmtId="1" fontId="16" fillId="0" borderId="11" xfId="0" applyNumberFormat="1" applyFont="1" applyBorder="1"/>
    <xf numFmtId="1" fontId="0" fillId="0" borderId="0" xfId="0" applyNumberFormat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164" fontId="0" fillId="0" borderId="21" xfId="0" applyNumberFormat="1" applyBorder="1" applyAlignment="1">
      <alignment horizontal="center"/>
    </xf>
    <xf numFmtId="2" fontId="0" fillId="0" borderId="21" xfId="0" applyNumberFormat="1" applyBorder="1"/>
    <xf numFmtId="1" fontId="19" fillId="0" borderId="16" xfId="0" applyNumberFormat="1" applyFont="1" applyBorder="1"/>
    <xf numFmtId="1" fontId="19" fillId="0" borderId="17" xfId="0" applyNumberFormat="1" applyFont="1" applyBorder="1"/>
    <xf numFmtId="0" fontId="16" fillId="0" borderId="29" xfId="0" applyFont="1" applyBorder="1"/>
    <xf numFmtId="0" fontId="0" fillId="0" borderId="29" xfId="0" applyBorder="1"/>
    <xf numFmtId="2" fontId="0" fillId="0" borderId="20" xfId="0" applyNumberFormat="1" applyBorder="1"/>
    <xf numFmtId="0" fontId="0" fillId="0" borderId="31" xfId="0" applyBorder="1"/>
    <xf numFmtId="2" fontId="0" fillId="0" borderId="32" xfId="0" applyNumberFormat="1" applyBorder="1"/>
    <xf numFmtId="2" fontId="0" fillId="0" borderId="33" xfId="0" applyNumberFormat="1" applyBorder="1"/>
    <xf numFmtId="2" fontId="16" fillId="0" borderId="22" xfId="0" applyNumberFormat="1" applyFont="1" applyBorder="1" applyAlignment="1">
      <alignment horizontal="center"/>
    </xf>
    <xf numFmtId="2" fontId="16" fillId="0" borderId="24" xfId="0" applyNumberFormat="1" applyFont="1" applyBorder="1" applyAlignment="1">
      <alignment horizontal="center"/>
    </xf>
    <xf numFmtId="2" fontId="16" fillId="0" borderId="26" xfId="0" applyNumberFormat="1" applyFont="1" applyBorder="1" applyAlignment="1">
      <alignment horizontal="center"/>
    </xf>
    <xf numFmtId="2" fontId="16" fillId="0" borderId="27" xfId="0" applyNumberFormat="1" applyFont="1" applyBorder="1" applyAlignment="1">
      <alignment horizontal="center"/>
    </xf>
    <xf numFmtId="2" fontId="16" fillId="0" borderId="34" xfId="0" applyNumberFormat="1" applyFont="1" applyBorder="1" applyAlignment="1">
      <alignment horizontal="center"/>
    </xf>
    <xf numFmtId="2" fontId="16" fillId="0" borderId="36" xfId="0" applyNumberFormat="1" applyFont="1" applyBorder="1" applyAlignment="1">
      <alignment horizontal="center"/>
    </xf>
    <xf numFmtId="2" fontId="16" fillId="0" borderId="35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" fontId="16" fillId="0" borderId="39" xfId="0" applyNumberFormat="1" applyFont="1" applyBorder="1"/>
    <xf numFmtId="1" fontId="0" fillId="0" borderId="45" xfId="0" applyNumberFormat="1" applyBorder="1"/>
    <xf numFmtId="164" fontId="0" fillId="0" borderId="46" xfId="0" applyNumberFormat="1" applyBorder="1" applyAlignment="1">
      <alignment horizontal="center"/>
    </xf>
    <xf numFmtId="164" fontId="0" fillId="0" borderId="52" xfId="0" applyNumberFormat="1" applyBorder="1" applyAlignment="1">
      <alignment horizontal="center"/>
    </xf>
    <xf numFmtId="2" fontId="0" fillId="0" borderId="52" xfId="0" applyNumberFormat="1" applyBorder="1"/>
    <xf numFmtId="2" fontId="0" fillId="0" borderId="47" xfId="0" applyNumberFormat="1" applyBorder="1"/>
    <xf numFmtId="1" fontId="16" fillId="0" borderId="29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2" fontId="0" fillId="0" borderId="48" xfId="0" applyNumberFormat="1" applyBorder="1"/>
    <xf numFmtId="2" fontId="0" fillId="0" borderId="14" xfId="0" applyNumberFormat="1" applyBorder="1"/>
    <xf numFmtId="2" fontId="0" fillId="0" borderId="46" xfId="0" applyNumberFormat="1" applyBorder="1"/>
    <xf numFmtId="2" fontId="0" fillId="0" borderId="19" xfId="0" applyNumberFormat="1" applyBorder="1"/>
    <xf numFmtId="2" fontId="0" fillId="0" borderId="37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0" fontId="16" fillId="0" borderId="29" xfId="0" applyFont="1" applyBorder="1" applyAlignment="1">
      <alignment horizontal="center" vertical="center" wrapText="1"/>
    </xf>
    <xf numFmtId="2" fontId="16" fillId="0" borderId="16" xfId="0" applyNumberFormat="1" applyFont="1" applyBorder="1" applyAlignment="1">
      <alignment horizontal="center"/>
    </xf>
    <xf numFmtId="1" fontId="16" fillId="0" borderId="16" xfId="0" applyNumberFormat="1" applyFont="1" applyBorder="1" applyAlignment="1">
      <alignment horizontal="center"/>
    </xf>
    <xf numFmtId="2" fontId="16" fillId="0" borderId="17" xfId="0" applyNumberFormat="1" applyFont="1" applyBorder="1" applyAlignment="1">
      <alignment horizontal="center"/>
    </xf>
    <xf numFmtId="1" fontId="16" fillId="0" borderId="17" xfId="0" applyNumberFormat="1" applyFont="1" applyBorder="1" applyAlignment="1">
      <alignment horizontal="center"/>
    </xf>
    <xf numFmtId="2" fontId="16" fillId="0" borderId="18" xfId="0" applyNumberFormat="1" applyFont="1" applyBorder="1" applyAlignment="1">
      <alignment horizontal="center"/>
    </xf>
    <xf numFmtId="1" fontId="16" fillId="0" borderId="18" xfId="0" applyNumberFormat="1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0" fontId="18" fillId="0" borderId="12" xfId="0" applyFont="1" applyBorder="1"/>
    <xf numFmtId="0" fontId="18" fillId="0" borderId="14" xfId="0" applyFont="1" applyBorder="1"/>
    <xf numFmtId="0" fontId="18" fillId="0" borderId="13" xfId="0" applyFont="1" applyBorder="1"/>
    <xf numFmtId="0" fontId="18" fillId="0" borderId="15" xfId="0" applyFont="1" applyBorder="1"/>
    <xf numFmtId="0" fontId="18" fillId="0" borderId="24" xfId="0" applyFont="1" applyBorder="1"/>
    <xf numFmtId="0" fontId="18" fillId="0" borderId="35" xfId="0" applyFont="1" applyBorder="1"/>
    <xf numFmtId="0" fontId="18" fillId="33" borderId="22" xfId="0" applyFont="1" applyFill="1" applyBorder="1"/>
    <xf numFmtId="0" fontId="18" fillId="33" borderId="34" xfId="0" applyFont="1" applyFill="1" applyBorder="1"/>
    <xf numFmtId="0" fontId="18" fillId="33" borderId="24" xfId="0" applyFont="1" applyFill="1" applyBorder="1"/>
    <xf numFmtId="0" fontId="18" fillId="33" borderId="35" xfId="0" applyFont="1" applyFill="1" applyBorder="1"/>
    <xf numFmtId="1" fontId="19" fillId="0" borderId="42" xfId="0" applyNumberFormat="1" applyFont="1" applyBorder="1"/>
    <xf numFmtId="1" fontId="0" fillId="0" borderId="54" xfId="0" applyNumberFormat="1" applyBorder="1"/>
    <xf numFmtId="2" fontId="16" fillId="33" borderId="22" xfId="0" applyNumberFormat="1" applyFont="1" applyFill="1" applyBorder="1"/>
    <xf numFmtId="2" fontId="16" fillId="33" borderId="34" xfId="0" applyNumberFormat="1" applyFont="1" applyFill="1" applyBorder="1"/>
    <xf numFmtId="2" fontId="16" fillId="33" borderId="24" xfId="0" applyNumberFormat="1" applyFont="1" applyFill="1" applyBorder="1"/>
    <xf numFmtId="2" fontId="16" fillId="33" borderId="35" xfId="0" applyNumberFormat="1" applyFont="1" applyFill="1" applyBorder="1"/>
    <xf numFmtId="2" fontId="16" fillId="33" borderId="26" xfId="0" applyNumberFormat="1" applyFont="1" applyFill="1" applyBorder="1"/>
    <xf numFmtId="2" fontId="16" fillId="33" borderId="36" xfId="0" applyNumberFormat="1" applyFont="1" applyFill="1" applyBorder="1"/>
    <xf numFmtId="2" fontId="16" fillId="33" borderId="23" xfId="0" applyNumberFormat="1" applyFont="1" applyFill="1" applyBorder="1"/>
    <xf numFmtId="2" fontId="16" fillId="33" borderId="25" xfId="0" applyNumberFormat="1" applyFont="1" applyFill="1" applyBorder="1"/>
    <xf numFmtId="2" fontId="16" fillId="33" borderId="27" xfId="0" applyNumberFormat="1" applyFont="1" applyFill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1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00000000-0005-0000-0000-00001B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ZA" sz="1800" b="1" i="0" baseline="0">
                <a:effectLst/>
              </a:rPr>
              <a:t>Variations In Diameter: Measured  Vs Planned</a:t>
            </a:r>
            <a:endParaRPr lang="en-ZA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7364790507965788E-2"/>
          <c:y val="0.12708790524831765"/>
          <c:w val="0.91843707962051047"/>
          <c:h val="0.70145857101997422"/>
        </c:manualLayout>
      </c:layout>
      <c:lineChart>
        <c:grouping val="standard"/>
        <c:varyColors val="0"/>
        <c:ser>
          <c:idx val="0"/>
          <c:order val="0"/>
          <c:tx>
            <c:strRef>
              <c:f>Table!$B$2</c:f>
              <c:strCache>
                <c:ptCount val="1"/>
                <c:pt idx="0">
                  <c:v>Minimum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Table!$B$3:$B$52</c:f>
              <c:numCache>
                <c:formatCode>0.0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DA-43A2-83CD-5262904D8B5A}"/>
            </c:ext>
          </c:extLst>
        </c:ser>
        <c:ser>
          <c:idx val="1"/>
          <c:order val="1"/>
          <c:tx>
            <c:strRef>
              <c:f>Table!$C$2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Table!$C$3:$C$52</c:f>
              <c:numCache>
                <c:formatCode>0.0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DA-43A2-83CD-5262904D8B5A}"/>
            </c:ext>
          </c:extLst>
        </c:ser>
        <c:ser>
          <c:idx val="2"/>
          <c:order val="2"/>
          <c:tx>
            <c:strRef>
              <c:f>Table!$D$2</c:f>
              <c:strCache>
                <c:ptCount val="1"/>
                <c:pt idx="0">
                  <c:v>Maximum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Table!$D$3:$D$52</c:f>
              <c:numCache>
                <c:formatCode>0.0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ADA-43A2-83CD-5262904D8B5A}"/>
            </c:ext>
          </c:extLst>
        </c:ser>
        <c:ser>
          <c:idx val="3"/>
          <c:order val="3"/>
          <c:tx>
            <c:strRef>
              <c:f>Table!$E$2</c:f>
              <c:strCache>
                <c:ptCount val="1"/>
                <c:pt idx="0">
                  <c:v> Planned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Table!$E$3:$E$52</c:f>
              <c:numCache>
                <c:formatCode>0.0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ADA-43A2-83CD-5262904D8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540304"/>
        <c:axId val="249540696"/>
      </c:lineChart>
      <c:catAx>
        <c:axId val="24954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Hole Nr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49540696"/>
        <c:crosses val="autoZero"/>
        <c:auto val="1"/>
        <c:lblAlgn val="ctr"/>
        <c:lblOffset val="100"/>
        <c:noMultiLvlLbl val="0"/>
      </c:catAx>
      <c:valAx>
        <c:axId val="249540696"/>
        <c:scaling>
          <c:orientation val="minMax"/>
          <c:max val="300"/>
          <c:min val="1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Diameter (mm)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249540304"/>
        <c:crosses val="autoZero"/>
        <c:crossBetween val="between"/>
      </c:valAx>
    </c:plotArea>
    <c:legend>
      <c:legendPos val="t"/>
      <c:overlay val="0"/>
    </c:legend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ZA" sz="1800" b="1" i="0" baseline="0">
                <a:effectLst/>
              </a:rPr>
              <a:t>Variations In Explosives Charge: Measured Vs Planned</a:t>
            </a:r>
            <a:endParaRPr lang="en-ZA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Table!$H$2</c:f>
              <c:strCache>
                <c:ptCount val="1"/>
                <c:pt idx="0">
                  <c:v>Minimum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Table!$H$3:$H$52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DF-4513-91B2-48841EED3970}"/>
            </c:ext>
          </c:extLst>
        </c:ser>
        <c:ser>
          <c:idx val="1"/>
          <c:order val="1"/>
          <c:tx>
            <c:strRef>
              <c:f>Table!$I$2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Table!$I$3:$I$52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DF-4513-91B2-48841EED3970}"/>
            </c:ext>
          </c:extLst>
        </c:ser>
        <c:ser>
          <c:idx val="2"/>
          <c:order val="2"/>
          <c:tx>
            <c:strRef>
              <c:f>Table!$J$2</c:f>
              <c:strCache>
                <c:ptCount val="1"/>
                <c:pt idx="0">
                  <c:v>Maximum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Table!$J$3:$J$52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ADF-4513-91B2-48841EED3970}"/>
            </c:ext>
          </c:extLst>
        </c:ser>
        <c:ser>
          <c:idx val="3"/>
          <c:order val="3"/>
          <c:tx>
            <c:strRef>
              <c:f>Table!$K$2</c:f>
              <c:strCache>
                <c:ptCount val="1"/>
                <c:pt idx="0">
                  <c:v>Planned</c:v>
                </c:pt>
              </c:strCache>
            </c:strRef>
          </c:tx>
          <c:marker>
            <c:symbol val="none"/>
          </c:marker>
          <c:cat>
            <c:numRef>
              <c:f>Table!$A$3:$A$52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Table!$K$3:$K$52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ADF-4513-91B2-48841EED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541480"/>
        <c:axId val="249541872"/>
      </c:lineChart>
      <c:catAx>
        <c:axId val="249541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Hole Nr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49541872"/>
        <c:crosses val="autoZero"/>
        <c:auto val="1"/>
        <c:lblAlgn val="ctr"/>
        <c:lblOffset val="100"/>
        <c:noMultiLvlLbl val="0"/>
      </c:catAx>
      <c:valAx>
        <c:axId val="249541872"/>
        <c:scaling>
          <c:orientation val="minMax"/>
          <c:min val="6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Explosives Mass (kg)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4954148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A-4C6F-9249-AF2D7CAB9141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A-4C6F-9249-AF2D7CAB9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543832"/>
        <c:axId val="249544224"/>
      </c:lineChart>
      <c:catAx>
        <c:axId val="249543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54422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24954422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54383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5-435E-9838-3DFB8AA040E3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E5-435E-9838-3DFB8AA04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47208"/>
        <c:axId val="371347600"/>
      </c:lineChart>
      <c:catAx>
        <c:axId val="37134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4760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34760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4720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E-4C39-83DB-405528268664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4E-4C39-83DB-405528268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48384"/>
        <c:axId val="371348776"/>
      </c:lineChart>
      <c:catAx>
        <c:axId val="371348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4877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34877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4838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Sheet5!$L$1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[0]!Actual5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E-4174-AE0D-AD786BA5A248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[0]!Planned5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E-4174-AE0D-AD786BA5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49560"/>
        <c:axId val="371349952"/>
      </c:lineChart>
      <c:catAx>
        <c:axId val="37134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4995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34995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4956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Sheet6!$L$1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[0]!Actual6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0-4318-954D-E10922FC5A4B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[0]!Planned6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20-4318-954D-E10922FC5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50736"/>
        <c:axId val="371351128"/>
      </c:lineChart>
      <c:catAx>
        <c:axId val="371350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112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35112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073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Sheet7!$L$1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[0]!Actual7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3-4058-BAB5-CCFB65809C28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[0]!Planned7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73-4058-BAB5-CCFB65809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51912"/>
        <c:axId val="371352304"/>
      </c:lineChart>
      <c:catAx>
        <c:axId val="371351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230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35230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191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Sheet8!$L$1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[0]!Actual8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4-4F54-AF05-7D5207299D25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[0]!Planned8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4-4F54-AF05-7D5207299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53088"/>
        <c:axId val="371353480"/>
      </c:lineChart>
      <c:catAx>
        <c:axId val="37135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348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35348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308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Sheet9!$L$1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[0]!Actual9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7-4F58-B279-93591DA20B52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[0]!Planned9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7-4F58-B279-93591DA2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54264"/>
        <c:axId val="371354656"/>
      </c:lineChart>
      <c:catAx>
        <c:axId val="371354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465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35465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426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Sheet10!$L$1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[0]!Actual10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3-4DD7-8727-884E7A22F065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[0]!Planned10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3-4DD7-8727-884E7A22F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796048"/>
        <c:axId val="371796440"/>
      </c:lineChart>
      <c:catAx>
        <c:axId val="37179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9644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79644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9604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Sheet11!$L$1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[0]!Actual11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A-4343-B345-D2CD46C21D6C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[0]!Planned11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A-4343-B345-D2CD46C2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797224"/>
        <c:axId val="371797616"/>
      </c:lineChart>
      <c:catAx>
        <c:axId val="371797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9761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79761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9722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Sheet12!$L$1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[0]!Actual12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1-4675-828A-2D1915CB5F69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[0]!Planned12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1-4675-828A-2D1915CB5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798400"/>
        <c:axId val="371798792"/>
      </c:lineChart>
      <c:catAx>
        <c:axId val="37179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9879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79879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9840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Sheet13!$L$1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[0]!Actual13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0-40B9-8CDA-52EE20EEC843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[0]!Planned13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0-40B9-8CDA-52EE20EEC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15112"/>
        <c:axId val="371215504"/>
      </c:lineChart>
      <c:catAx>
        <c:axId val="371215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550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21550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511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Sheet14!$L$1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[0]!Actual14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8-41DB-9CAE-EA9668FD315E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[0]!Planned14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8-41DB-9CAE-EA9668FD3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16288"/>
        <c:axId val="371216680"/>
      </c:lineChart>
      <c:catAx>
        <c:axId val="37121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668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21668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628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Sheet15!$L$1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[0]!Actual15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5-499C-9F1F-6450D546BA39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[0]!Planned15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5-499C-9F1F-6450D546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17464"/>
        <c:axId val="371217856"/>
      </c:lineChart>
      <c:catAx>
        <c:axId val="371217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785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21785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746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Sheet16!$L$1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[0]!Actual16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5-4881-ABFA-104312157834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[0]!Planned16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5-4881-ABFA-10431215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18640"/>
        <c:axId val="371219032"/>
      </c:lineChart>
      <c:catAx>
        <c:axId val="37121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903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21903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864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Sheet17!$L$1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[0]!Actual17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8-475D-97FA-EE6AB30777EC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[0]!Planned17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C8-475D-97FA-EE6AB3077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19816"/>
        <c:axId val="371220208"/>
      </c:lineChart>
      <c:catAx>
        <c:axId val="371219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2020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22020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981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Sheet18!$L$1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[0]!Actual18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9-4180-B991-679D9DF551BF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[0]!Planned18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9-4180-B991-679D9DF5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20992"/>
        <c:axId val="371221384"/>
      </c:lineChart>
      <c:catAx>
        <c:axId val="37122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2138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22138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2099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Sheet19!$L$1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[0]!Actual19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5-4BE2-8168-C104F8FDA8F8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[0]!Planned19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5-4BE2-8168-C104F8FDA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22168"/>
        <c:axId val="371222560"/>
      </c:lineChart>
      <c:catAx>
        <c:axId val="371222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2256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22256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2216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Sheet20!$L$1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[0]!Actual20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D-4DF9-9527-6821C9184448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[0]!Planned20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D-4DF9-9527-6821C9184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567056"/>
        <c:axId val="371567448"/>
      </c:lineChart>
      <c:catAx>
        <c:axId val="37156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744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56744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705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Sheet21!$L$1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[0]!Actual21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3-4AE3-9116-2216D4BB8483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[0]!Planned21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3-4AE3-9116-2216D4BB8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567840"/>
        <c:axId val="371568232"/>
      </c:lineChart>
      <c:catAx>
        <c:axId val="37156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823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56823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784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Sheet22!$L$1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[0]!Actual22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9-4948-BA05-D25CD6FB7FA4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[0]!Planned22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9-4948-BA05-D25CD6FB7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569016"/>
        <c:axId val="371569408"/>
      </c:lineChart>
      <c:catAx>
        <c:axId val="371569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940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156940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901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Sheet23!$L$1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[0]!Actual23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B-4AA3-B8A2-242B8B854F5A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[0]!Planned23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B-4AA3-B8A2-242B8B854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89280"/>
        <c:axId val="372289672"/>
      </c:lineChart>
      <c:catAx>
        <c:axId val="372289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8967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28967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8928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Sheet24!$L$1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[0]!Actual24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A-4946-B474-34C2FD9C0281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[0]!Planned24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A-4946-B474-34C2FD9C0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90456"/>
        <c:axId val="372290848"/>
      </c:lineChart>
      <c:catAx>
        <c:axId val="37229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084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29084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045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Sheet25!$L$1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[0]!Actual25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A-42E7-97E9-60B2E861E395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[0]!Planned25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A-42E7-97E9-60B2E861E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91632"/>
        <c:axId val="372292024"/>
      </c:lineChart>
      <c:catAx>
        <c:axId val="37229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202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29202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163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Sheet26!$L$1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[0]!Actual26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8-4663-9E5F-A30E45A34C63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[0]!Planned26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8-4663-9E5F-A30E45A34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92808"/>
        <c:axId val="372293200"/>
      </c:lineChart>
      <c:catAx>
        <c:axId val="372292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320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29320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280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Sheet27!$L$1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[0]!Actual27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0-4775-8A4C-ECDAE654B72F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[0]!Planned27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0-4775-8A4C-ECDAE654B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93984"/>
        <c:axId val="372294376"/>
      </c:lineChart>
      <c:catAx>
        <c:axId val="37229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437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29437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398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Sheet28!$L$1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[0]!Actual28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D-4249-AFD4-540B3D875CD9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[0]!Planned28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D-4249-AFD4-540B3D875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95160"/>
        <c:axId val="372295552"/>
      </c:lineChart>
      <c:catAx>
        <c:axId val="372295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555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29555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516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Sheet29!$L$1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[0]!Depth29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[0]!Actual29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C-43F7-9AC9-C91B19D4EB3B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[0]!Depth29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[0]!Planned29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C-43F7-9AC9-C91B19D4E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96336"/>
        <c:axId val="372296728"/>
      </c:lineChart>
      <c:catAx>
        <c:axId val="37229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672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29672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633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Sheet30!$L$1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[0]!Actual30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A-4495-B909-26FE78400A7A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[0]!Planned30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A-4495-B909-26FE7840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47728"/>
        <c:axId val="372548120"/>
      </c:lineChart>
      <c:catAx>
        <c:axId val="37254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4812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4812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4772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Sheet31!$L$1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[0]!Actual31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D-472E-9D80-FD248739704D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[0]!Planned31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D-472E-9D80-FD248739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48904"/>
        <c:axId val="372549296"/>
      </c:lineChart>
      <c:catAx>
        <c:axId val="372548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4929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4929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4890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Sheet32!$L$1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[0]!Actual32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D-408A-AF2A-23C7E2E9B645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[0]!Planned32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D-408A-AF2A-23C7E2E9B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0080"/>
        <c:axId val="372550472"/>
      </c:lineChart>
      <c:catAx>
        <c:axId val="37255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047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047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008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Sheet33!$L$1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[0]!Actual33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D-4187-88C0-93D426ABB029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[0]!Planned33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D-4187-88C0-93D426ABB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1256"/>
        <c:axId val="372551648"/>
      </c:lineChart>
      <c:catAx>
        <c:axId val="372551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164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164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125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Sheet34!$L$1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[0]!Actual34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6-471D-8AC8-CC844C587233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[0]!Planned34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6-471D-8AC8-CC844C587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2432"/>
        <c:axId val="372552824"/>
      </c:lineChart>
      <c:catAx>
        <c:axId val="37255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282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282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243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Sheet35!$L$1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[0]!Actual35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E4-419D-8589-9AA55CA7C20C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[0]!Planned35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E4-419D-8589-9AA55CA7C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3608"/>
        <c:axId val="372554000"/>
      </c:lineChart>
      <c:catAx>
        <c:axId val="372553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400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400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360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Sheet36!$L$1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[0]!Actual36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59-45B9-85E7-CD5185186970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[0]!Planned36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59-45B9-85E7-CD5185186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4784"/>
        <c:axId val="372555176"/>
      </c:lineChart>
      <c:catAx>
        <c:axId val="37255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517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517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478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Sheet37!$L$1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[0]!Actual37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5-48FB-981F-77625F13B3E5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[0]!Planned37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5-48FB-981F-77625F13B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5960"/>
        <c:axId val="372556352"/>
      </c:lineChart>
      <c:catAx>
        <c:axId val="372555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635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635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596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Sheet38!$L$1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[0]!Actual38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1-426B-A427-28E2EABF7EF5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[0]!Planned38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1-426B-A427-28E2EABF7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7136"/>
        <c:axId val="372557528"/>
      </c:lineChart>
      <c:catAx>
        <c:axId val="37255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752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752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713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Sheet39!$L$1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[0]!Depth39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[0]!Actual39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0-4CEB-B05F-E1D8A6643B06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[0]!Depth39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[0]!Planned39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0-4CEB-B05F-E1D8A664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8312"/>
        <c:axId val="372558704"/>
      </c:lineChart>
      <c:catAx>
        <c:axId val="372558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870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870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831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Sheet40!$L$1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[0]!Actual40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7-41C9-B4C8-70FE33419D00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[0]!Planned40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7-41C9-B4C8-70FE33419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59488"/>
        <c:axId val="372559880"/>
      </c:lineChart>
      <c:catAx>
        <c:axId val="372559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988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5988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5948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Sheet41!$L$1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[0]!Actual41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6-445E-9E8C-C3FB6BEAE338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[0]!Planned41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6-445E-9E8C-C3FB6BEA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60664"/>
        <c:axId val="372561056"/>
      </c:lineChart>
      <c:catAx>
        <c:axId val="372560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6105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6105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6066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Sheet42!$L$1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[0]!Actual42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C-4F05-8E48-AC9AFD9BA3F1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[0]!Depth42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[0]!Planned42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C-4F05-8E48-AC9AFD9BA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61840"/>
        <c:axId val="372562232"/>
      </c:lineChart>
      <c:catAx>
        <c:axId val="37256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6223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256223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6184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Sheet43!$L$1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[0]!Actual43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6-4F0A-8CCF-A7B4135E9F7A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[0]!Depth43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[0]!Planned43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6-4F0A-8CCF-A7B4135E9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563016"/>
        <c:axId val="373377784"/>
      </c:lineChart>
      <c:catAx>
        <c:axId val="372563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7778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7778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6301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Sheet44!$L$1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[0]!Actual44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B-4D4C-B20D-D513BC890E5C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[0]!Depth44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[0]!Planned44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B-4D4C-B20D-D513BC890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378568"/>
        <c:axId val="373378960"/>
      </c:lineChart>
      <c:catAx>
        <c:axId val="373378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7896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7896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7856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Sheet45!$L$1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[0]!Actual45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7-49E1-B0B5-D469C05C351E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[0]!Depth45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[0]!Planned45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37-49E1-B0B5-D469C05C3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379744"/>
        <c:axId val="373380136"/>
      </c:lineChart>
      <c:catAx>
        <c:axId val="37337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013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8013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7974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Sheet46!$L$1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[0]!Actual46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7-4583-8AA5-4BC916210831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[0]!Depth46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[0]!Planned46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57-4583-8AA5-4BC91621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380920"/>
        <c:axId val="373381312"/>
      </c:lineChart>
      <c:catAx>
        <c:axId val="373380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1312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81312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0920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Sheet47!$L$1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[0]!Actual47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9-4F6A-A54E-E48E23DA760D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[0]!Depth47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[0]!Planned47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9-4F6A-A54E-E48E23DA7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382096"/>
        <c:axId val="373382488"/>
      </c:lineChart>
      <c:catAx>
        <c:axId val="37338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248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8248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209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Sheet48!$L$1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[0]!Actual48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5-4C98-BC51-1D1D8B056BE3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[0]!Depth48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[0]!Planned48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5-4C98-BC51-1D1D8B056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383272"/>
        <c:axId val="373383664"/>
      </c:lineChart>
      <c:catAx>
        <c:axId val="373383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366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83664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3272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Sheet49!$L$1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[0]!Depth49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[0]!Actual49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E-4F5C-9531-C392B2B46612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[0]!Depth49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[0]!Planned49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E-4F5C-9531-C392B2B46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384448"/>
        <c:axId val="373384840"/>
      </c:lineChart>
      <c:catAx>
        <c:axId val="37338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484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8484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4448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Sheet50!$L$1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[0]!Depth50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[0]!Actual50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4598-B5E1-02FAFE98C80A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[0]!Depth50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[0]!Planned50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4598-B5E1-02FAFE98C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385624"/>
        <c:axId val="373386016"/>
      </c:lineChart>
      <c:catAx>
        <c:axId val="373385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6016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37338601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85624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Sheet1!$L$1</c:f>
          <c:strCache>
            <c:ptCount val="1"/>
          </c:strCache>
        </c:strRef>
      </c:tx>
      <c:overlay val="1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11627118038799E-2"/>
          <c:y val="7.7419337359108775E-2"/>
          <c:w val="0.79916520639001754"/>
          <c:h val="0.8216966507613465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[0]!Actual1</c:f>
              <c:numCache>
                <c:formatCode>0.00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6-4B27-8993-CA8A428B7FA9}"/>
            </c:ext>
          </c:extLst>
        </c:ser>
        <c:ser>
          <c:idx val="2"/>
          <c:order val="1"/>
          <c:tx>
            <c:v>Planned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cat>
          <c:val>
            <c:numRef>
              <c:f>[0]!Planned1</c:f>
              <c:numCache>
                <c:formatCode>0.00</c:formatCode>
                <c:ptCount val="2"/>
                <c:pt idx="0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6-4B27-8993-CA8A428B7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542656"/>
        <c:axId val="249543048"/>
      </c:lineChart>
      <c:catAx>
        <c:axId val="24954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54304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249543048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> (mm)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542656"/>
        <c:crosses val="autoZero"/>
        <c:crossBetween val="midCat"/>
        <c:majorUnit val="5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 rtl="0">
            <a:defRPr lang="en-US" sz="12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D6-41A7-9B1E-499BE0C4510B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D6-41A7-9B1E-499BE0C4510B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D6-41A7-9B1E-499BE0C4510B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D6-41A7-9B1E-499BE0C45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86800"/>
        <c:axId val="373387192"/>
      </c:scatterChart>
      <c:valAx>
        <c:axId val="37338680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3387192"/>
        <c:crosses val="autoZero"/>
        <c:crossBetween val="midCat"/>
        <c:majorUnit val="100"/>
        <c:minorUnit val="50"/>
      </c:valAx>
      <c:valAx>
        <c:axId val="37338719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33868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92-4A88-9465-F742B53896EB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92-4A88-9465-F742B53896EB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92-4A88-9465-F742B53896EB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92-4A88-9465-F742B5389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87976"/>
        <c:axId val="373388368"/>
      </c:scatterChart>
      <c:valAx>
        <c:axId val="37338797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3388368"/>
        <c:crosses val="autoZero"/>
        <c:crossBetween val="midCat"/>
        <c:majorUnit val="100"/>
        <c:minorUnit val="50"/>
      </c:valAx>
      <c:valAx>
        <c:axId val="37338836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33879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08-4EB3-B670-B4AFD96588D1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08-4EB3-B670-B4AFD96588D1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08-4EB3-B670-B4AFD96588D1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08-4EB3-B670-B4AFD9658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89152"/>
        <c:axId val="373389544"/>
      </c:scatterChart>
      <c:valAx>
        <c:axId val="37338915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3389544"/>
        <c:crosses val="autoZero"/>
        <c:crossBetween val="midCat"/>
        <c:majorUnit val="100"/>
        <c:minorUnit val="50"/>
      </c:valAx>
      <c:valAx>
        <c:axId val="37338954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33891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7-4178-9A44-710975056D5C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E7-4178-9A44-710975056D5C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E7-4178-9A44-710975056D5C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E7-4178-9A44-710975056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90328"/>
        <c:axId val="373390720"/>
      </c:scatterChart>
      <c:valAx>
        <c:axId val="37339032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3390720"/>
        <c:crosses val="autoZero"/>
        <c:crossBetween val="midCat"/>
        <c:majorUnit val="100"/>
        <c:minorUnit val="50"/>
      </c:valAx>
      <c:valAx>
        <c:axId val="37339072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33903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Sheet5!$L$1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B-4DE2-8CF2-96612878F303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9B-4DE2-8CF2-96612878F303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9B-4DE2-8CF2-96612878F303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9B-4DE2-8CF2-96612878F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91504"/>
        <c:axId val="373391896"/>
      </c:scatterChart>
      <c:valAx>
        <c:axId val="37339150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3391896"/>
        <c:crosses val="autoZero"/>
        <c:crossBetween val="midCat"/>
        <c:majorUnit val="100"/>
        <c:minorUnit val="50"/>
      </c:valAx>
      <c:valAx>
        <c:axId val="37339189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33915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Sheet6!$L$1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7-4BA9-88BF-01EDF677F2A8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57-4BA9-88BF-01EDF677F2A8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57-4BA9-88BF-01EDF677F2A8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57-4BA9-88BF-01EDF677F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92680"/>
        <c:axId val="373393072"/>
      </c:scatterChart>
      <c:valAx>
        <c:axId val="3733926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3393072"/>
        <c:crosses val="autoZero"/>
        <c:crossBetween val="midCat"/>
        <c:majorUnit val="100"/>
        <c:minorUnit val="50"/>
      </c:valAx>
      <c:valAx>
        <c:axId val="37339307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33926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Sheet7!$L$1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7F-4D32-B1C2-0ADE87B3F12A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7F-4D32-B1C2-0ADE87B3F12A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7F-4D32-B1C2-0ADE87B3F12A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7F-4D32-B1C2-0ADE87B3F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22952"/>
        <c:axId val="374823344"/>
      </c:scatterChart>
      <c:valAx>
        <c:axId val="37482295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23344"/>
        <c:crosses val="autoZero"/>
        <c:crossBetween val="midCat"/>
        <c:majorUnit val="100"/>
        <c:minorUnit val="50"/>
      </c:valAx>
      <c:valAx>
        <c:axId val="37482334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229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Sheet8!$L$1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B6-49CC-B109-C01B4CDA3F29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B6-49CC-B109-C01B4CDA3F29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B6-49CC-B109-C01B4CDA3F29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B6-49CC-B109-C01B4CDA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24128"/>
        <c:axId val="374824520"/>
      </c:scatterChart>
      <c:valAx>
        <c:axId val="37482412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24520"/>
        <c:crosses val="autoZero"/>
        <c:crossBetween val="midCat"/>
        <c:majorUnit val="100"/>
        <c:minorUnit val="50"/>
      </c:valAx>
      <c:valAx>
        <c:axId val="37482452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241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Sheet9!$L$1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B1-4D59-8F74-B8EC93B1D822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B1-4D59-8F74-B8EC93B1D822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B1-4D59-8F74-B8EC93B1D822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B1-4D59-8F74-B8EC93B1D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25304"/>
        <c:axId val="374825696"/>
      </c:scatterChart>
      <c:valAx>
        <c:axId val="37482530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25696"/>
        <c:crosses val="autoZero"/>
        <c:crossBetween val="midCat"/>
        <c:majorUnit val="100"/>
        <c:minorUnit val="50"/>
      </c:valAx>
      <c:valAx>
        <c:axId val="37482569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25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Sheet10!$L$1</c:f>
          <c:strCache>
            <c:ptCount val="1"/>
          </c:strCache>
        </c:strRef>
      </c:tx>
      <c:layout>
        <c:manualLayout>
          <c:xMode val="edge"/>
          <c:yMode val="edge"/>
          <c:x val="0.44699352561657069"/>
          <c:y val="2.2939166103700136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00-4074-8E6C-5BE4DDB773A2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00-4074-8E6C-5BE4DDB773A2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00-4074-8E6C-5BE4DDB773A2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00-4074-8E6C-5BE4DDB77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26480"/>
        <c:axId val="374826872"/>
      </c:scatterChart>
      <c:valAx>
        <c:axId val="3748264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26872"/>
        <c:crosses val="autoZero"/>
        <c:crossBetween val="midCat"/>
        <c:majorUnit val="100"/>
        <c:minorUnit val="50"/>
      </c:valAx>
      <c:valAx>
        <c:axId val="37482687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264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Sheet11!$L$1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92-478D-A534-62687809F9F8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92-478D-A534-62687809F9F8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92-478D-A534-62687809F9F8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92-478D-A534-62687809F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27656"/>
        <c:axId val="374828048"/>
      </c:scatterChart>
      <c:valAx>
        <c:axId val="37482765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28048"/>
        <c:crosses val="autoZero"/>
        <c:crossBetween val="midCat"/>
        <c:majorUnit val="100"/>
        <c:minorUnit val="50"/>
      </c:valAx>
      <c:valAx>
        <c:axId val="37482804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276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Sheet12!$L$1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7A-4623-9113-A71E4B3606E6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7A-4623-9113-A71E4B3606E6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7A-4623-9113-A71E4B3606E6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7A-4623-9113-A71E4B360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28832"/>
        <c:axId val="374829224"/>
      </c:scatterChart>
      <c:valAx>
        <c:axId val="37482883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29224"/>
        <c:crosses val="autoZero"/>
        <c:crossBetween val="midCat"/>
        <c:majorUnit val="100"/>
        <c:minorUnit val="50"/>
      </c:valAx>
      <c:valAx>
        <c:axId val="37482922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288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Sheet13!$L$1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FD-4D95-9DA1-25238284EFD6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FD-4D95-9DA1-25238284EFD6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FD-4D95-9DA1-25238284EFD6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FD-4D95-9DA1-25238284E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0008"/>
        <c:axId val="374830400"/>
      </c:scatterChart>
      <c:valAx>
        <c:axId val="37483000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0400"/>
        <c:crosses val="autoZero"/>
        <c:crossBetween val="midCat"/>
        <c:majorUnit val="100"/>
        <c:minorUnit val="50"/>
      </c:valAx>
      <c:valAx>
        <c:axId val="37483040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00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Sheet14!$L$1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71-4949-8692-8A34B75D9942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71-4949-8692-8A34B75D9942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71-4949-8692-8A34B75D9942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71-4949-8692-8A34B75D9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1184"/>
        <c:axId val="374831576"/>
      </c:scatterChart>
      <c:valAx>
        <c:axId val="37483118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1576"/>
        <c:crosses val="autoZero"/>
        <c:crossBetween val="midCat"/>
        <c:majorUnit val="100"/>
        <c:minorUnit val="50"/>
      </c:valAx>
      <c:valAx>
        <c:axId val="37483157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11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Sheet15!$L$1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B-4F3F-B69D-1C199CCB52EF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FB-4F3F-B69D-1C199CCB52EF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FB-4F3F-B69D-1C199CCB52EF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FB-4F3F-B69D-1C199CCB5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2360"/>
        <c:axId val="374832752"/>
      </c:scatterChart>
      <c:valAx>
        <c:axId val="37483236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2752"/>
        <c:crosses val="autoZero"/>
        <c:crossBetween val="midCat"/>
        <c:majorUnit val="100"/>
        <c:minorUnit val="50"/>
      </c:valAx>
      <c:valAx>
        <c:axId val="37483275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23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Sheet16!$L$1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66-4464-BCC7-C9463A00BAAF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66-4464-BCC7-C9463A00BAAF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66-4464-BCC7-C9463A00BAAF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66-4464-BCC7-C9463A00B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3536"/>
        <c:axId val="374833928"/>
      </c:scatterChart>
      <c:valAx>
        <c:axId val="37483353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3928"/>
        <c:crosses val="autoZero"/>
        <c:crossBetween val="midCat"/>
        <c:majorUnit val="100"/>
        <c:minorUnit val="50"/>
      </c:valAx>
      <c:valAx>
        <c:axId val="37483392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35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Sheet17!$L$1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89-46F8-8883-8A421D60BC22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89-46F8-8883-8A421D60BC22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89-46F8-8883-8A421D60BC22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89-46F8-8883-8A421D60B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4712"/>
        <c:axId val="374835104"/>
      </c:scatterChart>
      <c:valAx>
        <c:axId val="37483471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5104"/>
        <c:crosses val="autoZero"/>
        <c:crossBetween val="midCat"/>
        <c:majorUnit val="100"/>
        <c:minorUnit val="50"/>
      </c:valAx>
      <c:valAx>
        <c:axId val="37483510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4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Sheet18!$L$1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E5B-99B3-744C8BF66E68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23-4E5B-99B3-744C8BF66E68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23-4E5B-99B3-744C8BF66E68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E5B-99B3-744C8BF66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5888"/>
        <c:axId val="374836280"/>
      </c:scatterChart>
      <c:valAx>
        <c:axId val="37483588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6280"/>
        <c:crosses val="autoZero"/>
        <c:crossBetween val="midCat"/>
        <c:majorUnit val="100"/>
        <c:minorUnit val="50"/>
      </c:valAx>
      <c:valAx>
        <c:axId val="37483628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58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Sheet19!$L$1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[0]!ActualP19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35-4C99-9385-47B5B595D43A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[0]!ActualM19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35-4C99-9385-47B5B595D43A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[0]!PlannedP19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35-4C99-9385-47B5B595D43A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[0]!PlannedM19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[0]!Depth19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35-4C99-9385-47B5B595D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7064"/>
        <c:axId val="374837456"/>
      </c:scatterChart>
      <c:valAx>
        <c:axId val="37483706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7456"/>
        <c:crosses val="autoZero"/>
        <c:crossBetween val="midCat"/>
        <c:majorUnit val="100"/>
        <c:minorUnit val="50"/>
      </c:valAx>
      <c:valAx>
        <c:axId val="37483745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70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Sheet20!$L$1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2-46DF-9ECA-1596AEF0A1ED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22-46DF-9ECA-1596AEF0A1ED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22-46DF-9ECA-1596AEF0A1ED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22-46DF-9ECA-1596AEF0A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38240"/>
        <c:axId val="374838632"/>
      </c:scatterChart>
      <c:valAx>
        <c:axId val="37483824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4838632"/>
        <c:crosses val="autoZero"/>
        <c:crossBetween val="midCat"/>
        <c:majorUnit val="100"/>
        <c:minorUnit val="50"/>
      </c:valAx>
      <c:valAx>
        <c:axId val="37483863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48382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Sheet21!$L$1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A-487A-84A8-7253D22A349B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AA-487A-84A8-7253D22A349B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AA-487A-84A8-7253D22A349B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AA-487A-84A8-7253D22A3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8600"/>
        <c:axId val="375388992"/>
      </c:scatterChart>
      <c:valAx>
        <c:axId val="37538860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88992"/>
        <c:crosses val="autoZero"/>
        <c:crossBetween val="midCat"/>
        <c:majorUnit val="100"/>
        <c:minorUnit val="50"/>
      </c:valAx>
      <c:valAx>
        <c:axId val="37538899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886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Sheet22!$L$1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4-4038-81CC-6B5992822080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4-4038-81CC-6B5992822080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94-4038-81CC-6B5992822080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94-4038-81CC-6B5992822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9776"/>
        <c:axId val="375390168"/>
      </c:scatterChart>
      <c:valAx>
        <c:axId val="37538977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0168"/>
        <c:crosses val="autoZero"/>
        <c:crossBetween val="midCat"/>
        <c:majorUnit val="100"/>
        <c:minorUnit val="50"/>
      </c:valAx>
      <c:valAx>
        <c:axId val="37539016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897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Sheet23!$L$1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1F-410C-A2A5-97C8C40FEEEA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1F-410C-A2A5-97C8C40FEEEA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1F-410C-A2A5-97C8C40FEEEA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1F-410C-A2A5-97C8C40FE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0952"/>
        <c:axId val="375391344"/>
      </c:scatterChart>
      <c:valAx>
        <c:axId val="37539095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1344"/>
        <c:crosses val="autoZero"/>
        <c:crossBetween val="midCat"/>
        <c:majorUnit val="100"/>
        <c:minorUnit val="50"/>
      </c:valAx>
      <c:valAx>
        <c:axId val="37539134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09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Sheet24!$L$1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57-4F08-8375-475AA0C04BF1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57-4F08-8375-475AA0C04BF1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57-4F08-8375-475AA0C04BF1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57-4F08-8375-475AA0C04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2128"/>
        <c:axId val="375392520"/>
      </c:scatterChart>
      <c:valAx>
        <c:axId val="37539212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2520"/>
        <c:crosses val="autoZero"/>
        <c:crossBetween val="midCat"/>
        <c:majorUnit val="100"/>
        <c:minorUnit val="50"/>
      </c:valAx>
      <c:valAx>
        <c:axId val="37539252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21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Sheet25!$L$1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D9-47F6-993F-6B8B9AAA3A9D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D9-47F6-993F-6B8B9AAA3A9D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D9-47F6-993F-6B8B9AAA3A9D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D9-47F6-993F-6B8B9AAA3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3304"/>
        <c:axId val="375393696"/>
      </c:scatterChart>
      <c:valAx>
        <c:axId val="37539330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3696"/>
        <c:crosses val="autoZero"/>
        <c:crossBetween val="midCat"/>
        <c:majorUnit val="100"/>
        <c:minorUnit val="50"/>
      </c:valAx>
      <c:valAx>
        <c:axId val="37539369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3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Sheet26!$L$1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59-480B-B37F-3E30008476CE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59-480B-B37F-3E30008476CE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59-480B-B37F-3E30008476CE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59-480B-B37F-3E3000847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4480"/>
        <c:axId val="375394872"/>
      </c:scatterChart>
      <c:valAx>
        <c:axId val="3753944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4872"/>
        <c:crosses val="autoZero"/>
        <c:crossBetween val="midCat"/>
        <c:majorUnit val="100"/>
        <c:minorUnit val="50"/>
      </c:valAx>
      <c:valAx>
        <c:axId val="37539487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44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Sheet27!$L$1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C4-448C-8845-E551B25AF9A1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C4-448C-8845-E551B25AF9A1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C4-448C-8845-E551B25AF9A1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C4-448C-8845-E551B25AF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5656"/>
        <c:axId val="375396048"/>
      </c:scatterChart>
      <c:valAx>
        <c:axId val="37539565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6048"/>
        <c:crosses val="autoZero"/>
        <c:crossBetween val="midCat"/>
        <c:majorUnit val="100"/>
        <c:minorUnit val="50"/>
      </c:valAx>
      <c:valAx>
        <c:axId val="37539604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56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Sheet28!$L$1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D4-4C77-92DC-38FB65A34479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D4-4C77-92DC-38FB65A34479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D4-4C77-92DC-38FB65A34479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D4-4C77-92DC-38FB65A3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6832"/>
        <c:axId val="375397224"/>
      </c:scatterChart>
      <c:valAx>
        <c:axId val="37539683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7224"/>
        <c:crosses val="autoZero"/>
        <c:crossBetween val="midCat"/>
        <c:majorUnit val="100"/>
        <c:minorUnit val="50"/>
      </c:valAx>
      <c:valAx>
        <c:axId val="37539722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68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Sheet29!$L$1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[0]!ActualP29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B0-4211-81CF-75EA3CE23B79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[0]!ActualM29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0-4211-81CF-75EA3CE23B79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[0]!PlannedP29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0-4211-81CF-75EA3CE23B79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[0]!PlannedM29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[0]!Depth29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B0-4211-81CF-75EA3CE23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8008"/>
        <c:axId val="375398400"/>
      </c:scatterChart>
      <c:valAx>
        <c:axId val="37539800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8400"/>
        <c:crosses val="autoZero"/>
        <c:crossBetween val="midCat"/>
        <c:majorUnit val="100"/>
        <c:minorUnit val="50"/>
      </c:valAx>
      <c:valAx>
        <c:axId val="37539840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80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Sheet30!$L$1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D-4717-B7F5-D6B03891C2F8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5D-4717-B7F5-D6B03891C2F8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5D-4717-B7F5-D6B03891C2F8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5D-4717-B7F5-D6B03891C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99184"/>
        <c:axId val="375399576"/>
      </c:scatterChart>
      <c:valAx>
        <c:axId val="37539918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399576"/>
        <c:crosses val="autoZero"/>
        <c:crossBetween val="midCat"/>
        <c:majorUnit val="100"/>
        <c:minorUnit val="50"/>
      </c:valAx>
      <c:valAx>
        <c:axId val="37539957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3991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Sheet31!$L$1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12-4021-A4B4-E78FDCEBF94B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12-4021-A4B4-E78FDCEBF94B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12-4021-A4B4-E78FDCEBF94B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12-4021-A4B4-E78FDCEBF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400360"/>
        <c:axId val="375400752"/>
      </c:scatterChart>
      <c:valAx>
        <c:axId val="37540036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400752"/>
        <c:crosses val="autoZero"/>
        <c:crossBetween val="midCat"/>
        <c:majorUnit val="100"/>
        <c:minorUnit val="50"/>
      </c:valAx>
      <c:valAx>
        <c:axId val="37540075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4003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Sheet32!$L$1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B0-436B-A0ED-80023A680115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B0-436B-A0ED-80023A680115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B0-436B-A0ED-80023A680115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B0-436B-A0ED-80023A680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401536"/>
        <c:axId val="375401928"/>
      </c:scatterChart>
      <c:valAx>
        <c:axId val="37540153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401928"/>
        <c:crosses val="autoZero"/>
        <c:crossBetween val="midCat"/>
        <c:majorUnit val="100"/>
        <c:minorUnit val="50"/>
      </c:valAx>
      <c:valAx>
        <c:axId val="37540192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4015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Sheet33!$L$1</c:f>
          <c:strCache>
            <c:ptCount val="1"/>
          </c:strCache>
        </c:strRef>
      </c:tx>
      <c:layout>
        <c:manualLayout>
          <c:xMode val="edge"/>
          <c:yMode val="edge"/>
          <c:x val="0.43832633420822398"/>
          <c:y val="1.7204301075268817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A9-455B-8518-D96220ED47F5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A9-455B-8518-D96220ED47F5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A9-455B-8518-D96220ED47F5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A9-455B-8518-D96220ED4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402712"/>
        <c:axId val="375403104"/>
      </c:scatterChart>
      <c:valAx>
        <c:axId val="37540271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5403104"/>
        <c:crosses val="autoZero"/>
        <c:crossBetween val="midCat"/>
        <c:majorUnit val="100"/>
        <c:minorUnit val="50"/>
      </c:valAx>
      <c:valAx>
        <c:axId val="37540310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402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Sheet34!$L$1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4-4C0B-A26B-A251E68B1ACE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F4-4C0B-A26B-A251E68B1ACE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F4-4C0B-A26B-A251E68B1ACE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F4-4C0B-A26B-A251E68B1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403888"/>
        <c:axId val="376180744"/>
      </c:scatterChart>
      <c:valAx>
        <c:axId val="37540388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0744"/>
        <c:crosses val="autoZero"/>
        <c:crossBetween val="midCat"/>
        <c:majorUnit val="100"/>
        <c:minorUnit val="50"/>
      </c:valAx>
      <c:valAx>
        <c:axId val="37618074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54038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Sheet35!$L$1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1-4404-8D46-1D1CA0BE1981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31-4404-8D46-1D1CA0BE1981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31-4404-8D46-1D1CA0BE1981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31-4404-8D46-1D1CA0BE1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1528"/>
        <c:axId val="376181920"/>
      </c:scatterChart>
      <c:valAx>
        <c:axId val="37618152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1920"/>
        <c:crosses val="autoZero"/>
        <c:crossBetween val="midCat"/>
        <c:majorUnit val="100"/>
        <c:minorUnit val="50"/>
      </c:valAx>
      <c:valAx>
        <c:axId val="37618192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15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Sheet36!$L$1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3-4A86-98DA-8C64BA0A5D2D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3-4A86-98DA-8C64BA0A5D2D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E3-4A86-98DA-8C64BA0A5D2D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E3-4A86-98DA-8C64BA0A5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2704"/>
        <c:axId val="376183096"/>
      </c:scatterChart>
      <c:valAx>
        <c:axId val="37618270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3096"/>
        <c:crosses val="autoZero"/>
        <c:crossBetween val="midCat"/>
        <c:majorUnit val="100"/>
        <c:minorUnit val="50"/>
      </c:valAx>
      <c:valAx>
        <c:axId val="37618309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27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Sheet37!$L$1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EF-4437-B2C7-EFEBAC396A3A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EF-4437-B2C7-EFEBAC396A3A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EF-4437-B2C7-EFEBAC396A3A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EF-4437-B2C7-EFEBAC396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3880"/>
        <c:axId val="376184272"/>
      </c:scatterChart>
      <c:valAx>
        <c:axId val="3761838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4272"/>
        <c:crosses val="autoZero"/>
        <c:crossBetween val="midCat"/>
        <c:majorUnit val="100"/>
        <c:minorUnit val="50"/>
      </c:valAx>
      <c:valAx>
        <c:axId val="37618427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38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Sheet38!$L$1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0A-4885-A0D1-A4048E2852D6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0A-4885-A0D1-A4048E2852D6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0A-4885-A0D1-A4048E2852D6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0A-4885-A0D1-A4048E285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5056"/>
        <c:axId val="376185448"/>
      </c:scatterChart>
      <c:valAx>
        <c:axId val="37618505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5448"/>
        <c:crosses val="autoZero"/>
        <c:crossBetween val="midCat"/>
        <c:majorUnit val="100"/>
        <c:minorUnit val="50"/>
      </c:valAx>
      <c:valAx>
        <c:axId val="37618544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50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Sheet39!$L$1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[0]!ActualP39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31-44F4-A24B-62975A7C50B5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[0]!ActualM39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31-44F4-A24B-62975A7C50B5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[0]!PlannedP39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31-44F4-A24B-62975A7C50B5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[0]!PlannedM39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[0]!Depth39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31-44F4-A24B-62975A7C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6232"/>
        <c:axId val="376186624"/>
      </c:scatterChart>
      <c:valAx>
        <c:axId val="37618623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6624"/>
        <c:crosses val="autoZero"/>
        <c:crossBetween val="midCat"/>
        <c:majorUnit val="100"/>
        <c:minorUnit val="50"/>
      </c:valAx>
      <c:valAx>
        <c:axId val="37618662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62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Sheet40!$L$1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A4-4D68-B31A-984F0788804A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A4-4D68-B31A-984F0788804A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A4-4D68-B31A-984F0788804A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A4-4D68-B31A-984F0788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7408"/>
        <c:axId val="376187800"/>
      </c:scatterChart>
      <c:valAx>
        <c:axId val="37618740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7800"/>
        <c:crosses val="autoZero"/>
        <c:crossBetween val="midCat"/>
        <c:majorUnit val="100"/>
        <c:minorUnit val="50"/>
      </c:valAx>
      <c:valAx>
        <c:axId val="37618780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74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Sheet41!$L$1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CA-48B7-AEE3-5F0EE31CBD86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CA-48B7-AEE3-5F0EE31CBD86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CA-48B7-AEE3-5F0EE31CBD86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[0]!PlannedM41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[0]!Depth41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CA-48B7-AEE3-5F0EE31CB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8584"/>
        <c:axId val="376188976"/>
      </c:scatterChart>
      <c:valAx>
        <c:axId val="37618858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88976"/>
        <c:crosses val="autoZero"/>
        <c:crossBetween val="midCat"/>
        <c:majorUnit val="100"/>
        <c:minorUnit val="50"/>
      </c:valAx>
      <c:valAx>
        <c:axId val="37618897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85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Sheet42!$L$1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C7-4FDF-9813-2297F9BB2893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C7-4FDF-9813-2297F9BB2893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C7-4FDF-9813-2297F9BB2893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[0]!PlannedM42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[0]!Depth42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C7-4FDF-9813-2297F9BB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9760"/>
        <c:axId val="376190152"/>
      </c:scatterChart>
      <c:valAx>
        <c:axId val="37618976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90152"/>
        <c:crosses val="autoZero"/>
        <c:crossBetween val="midCat"/>
        <c:majorUnit val="100"/>
        <c:minorUnit val="50"/>
      </c:valAx>
      <c:valAx>
        <c:axId val="37619015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897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Sheet43!$L$1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BB-4BF1-BBAE-E55F1B575E4F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BB-4BF1-BBAE-E55F1B575E4F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BB-4BF1-BBAE-E55F1B575E4F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[0]!PlannedM43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[0]!Depth43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BB-4BF1-BBAE-E55F1B575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90936"/>
        <c:axId val="376191328"/>
      </c:scatterChart>
      <c:valAx>
        <c:axId val="37619093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91328"/>
        <c:crosses val="autoZero"/>
        <c:crossBetween val="midCat"/>
        <c:majorUnit val="100"/>
        <c:minorUnit val="50"/>
      </c:valAx>
      <c:valAx>
        <c:axId val="37619132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909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Sheet44!$L$1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A0-41F6-B401-E5F71966255D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A0-41F6-B401-E5F71966255D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A0-41F6-B401-E5F71966255D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[0]!PlannedM44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[0]!Depth44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A0-41F6-B401-E5F719662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92112"/>
        <c:axId val="376192504"/>
      </c:scatterChart>
      <c:valAx>
        <c:axId val="37619211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92504"/>
        <c:crosses val="autoZero"/>
        <c:crossBetween val="midCat"/>
        <c:majorUnit val="100"/>
        <c:minorUnit val="50"/>
      </c:valAx>
      <c:valAx>
        <c:axId val="37619250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921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Sheet45!$L$1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02-4E6C-BA2A-4688C05A498A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02-4E6C-BA2A-4688C05A498A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02-4E6C-BA2A-4688C05A498A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[0]!PlannedM45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[0]!Depth45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02-4E6C-BA2A-4688C05A4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93288"/>
        <c:axId val="376193680"/>
      </c:scatterChart>
      <c:valAx>
        <c:axId val="37619328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93680"/>
        <c:crosses val="autoZero"/>
        <c:crossBetween val="midCat"/>
        <c:majorUnit val="100"/>
        <c:minorUnit val="50"/>
      </c:valAx>
      <c:valAx>
        <c:axId val="37619368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932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Sheet46!$L$1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0A-42D3-8CDA-B5092A1DC797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0A-42D3-8CDA-B5092A1DC797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0A-42D3-8CDA-B5092A1DC797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[0]!PlannedM46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[0]!Depth46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0A-42D3-8CDA-B5092A1DC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94464"/>
        <c:axId val="376194856"/>
      </c:scatterChart>
      <c:valAx>
        <c:axId val="37619446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94856"/>
        <c:crosses val="autoZero"/>
        <c:crossBetween val="midCat"/>
        <c:majorUnit val="100"/>
        <c:minorUnit val="50"/>
      </c:valAx>
      <c:valAx>
        <c:axId val="376194856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944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Sheet47!$L$1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2-46DA-B6CF-0934DAF663F5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72-46DA-B6CF-0934DAF663F5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72-46DA-B6CF-0934DAF663F5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[0]!PlannedM47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[0]!Depth47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72-46DA-B6CF-0934DAF66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95640"/>
        <c:axId val="376196032"/>
      </c:scatterChart>
      <c:valAx>
        <c:axId val="37619564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196032"/>
        <c:crosses val="autoZero"/>
        <c:crossBetween val="midCat"/>
        <c:majorUnit val="100"/>
        <c:minorUnit val="50"/>
      </c:valAx>
      <c:valAx>
        <c:axId val="376196032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1956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Sheet48!$L$1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EB-48CB-A8E5-15FFFD7C2A65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EB-48CB-A8E5-15FFFD7C2A65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EB-48CB-A8E5-15FFFD7C2A65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[0]!PlannedM48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[0]!Depth48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EB-48CB-A8E5-15FFFD7C2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55616"/>
        <c:axId val="376856008"/>
      </c:scatterChart>
      <c:valAx>
        <c:axId val="376855616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856008"/>
        <c:crosses val="autoZero"/>
        <c:crossBetween val="midCat"/>
        <c:majorUnit val="100"/>
        <c:minorUnit val="50"/>
      </c:valAx>
      <c:valAx>
        <c:axId val="376856008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8556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Sheet49!$L$1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[0]!ActualP49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28-4AF3-B620-0546D362B22B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[0]!ActualM49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28-4AF3-B620-0546D362B22B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[0]!PlannedP49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28-4AF3-B620-0546D362B22B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[0]!PlannedM49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[0]!Depth49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28-4AF3-B620-0546D362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56792"/>
        <c:axId val="376857184"/>
      </c:scatterChart>
      <c:valAx>
        <c:axId val="37685679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857184"/>
        <c:crosses val="autoZero"/>
        <c:crossBetween val="midCat"/>
        <c:majorUnit val="100"/>
        <c:minorUnit val="50"/>
      </c:valAx>
      <c:valAx>
        <c:axId val="376857184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8567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Sheet50!$L$1</c:f>
          <c:strCache>
            <c:ptCount val="1"/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Actual+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[0]!ActualP50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4-430F-9261-91335E691CD3}"/>
            </c:ext>
          </c:extLst>
        </c:ser>
        <c:ser>
          <c:idx val="1"/>
          <c:order val="1"/>
          <c:tx>
            <c:v>Actual-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[0]!ActualM50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94-430F-9261-91335E691CD3}"/>
            </c:ext>
          </c:extLst>
        </c:ser>
        <c:ser>
          <c:idx val="2"/>
          <c:order val="2"/>
          <c:tx>
            <c:v>Planned+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[0]!PlannedP50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94-430F-9261-91335E691CD3}"/>
            </c:ext>
          </c:extLst>
        </c:ser>
        <c:ser>
          <c:idx val="3"/>
          <c:order val="3"/>
          <c:tx>
            <c:v>Planned-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[0]!PlannedM50</c:f>
              <c:numCache>
                <c:formatCode>0.00</c:formatCode>
                <c:ptCount val="2"/>
                <c:pt idx="0">
                  <c:v>0</c:v>
                </c:pt>
              </c:numCache>
            </c:numRef>
          </c:xVal>
          <c:yVal>
            <c:numRef>
              <c:f>[0]!Depth50</c:f>
              <c:numCache>
                <c:formatCode>0.00</c:formatCode>
                <c:ptCount val="2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94-430F-9261-91335E691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57968"/>
        <c:axId val="376858360"/>
      </c:scatterChart>
      <c:valAx>
        <c:axId val="376857968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76858360"/>
        <c:crosses val="autoZero"/>
        <c:crossBetween val="midCat"/>
        <c:majorUnit val="100"/>
        <c:minorUnit val="50"/>
      </c:valAx>
      <c:valAx>
        <c:axId val="376858360"/>
        <c:scaling>
          <c:orientation val="maxMin"/>
        </c:scaling>
        <c:delete val="0"/>
        <c:axPos val="r"/>
        <c:numFmt formatCode="0.0" sourceLinked="0"/>
        <c:majorTickMark val="none"/>
        <c:minorTickMark val="none"/>
        <c:tickLblPos val="nextTo"/>
        <c:crossAx val="3768579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102" Type="http://schemas.openxmlformats.org/officeDocument/2006/relationships/chart" Target="../charts/chart102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99" Type="http://schemas.openxmlformats.org/officeDocument/2006/relationships/chart" Target="../charts/chart99.xml"/><Relationship Id="rId101" Type="http://schemas.openxmlformats.org/officeDocument/2006/relationships/chart" Target="../charts/chart10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97" Type="http://schemas.openxmlformats.org/officeDocument/2006/relationships/chart" Target="../charts/chart97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Relationship Id="rId100" Type="http://schemas.openxmlformats.org/officeDocument/2006/relationships/chart" Target="../charts/chart100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93" Type="http://schemas.openxmlformats.org/officeDocument/2006/relationships/chart" Target="../charts/chart93.xml"/><Relationship Id="rId98" Type="http://schemas.openxmlformats.org/officeDocument/2006/relationships/chart" Target="../charts/chart98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13</xdr:col>
      <xdr:colOff>609599</xdr:colOff>
      <xdr:row>30</xdr:row>
      <xdr:rowOff>1</xdr:rowOff>
    </xdr:to>
    <xdr:graphicFrame macro="">
      <xdr:nvGraphicFramePr>
        <xdr:cNvPr id="3" name="Chart 15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28575</xdr:rowOff>
    </xdr:from>
    <xdr:to>
      <xdr:col>13</xdr:col>
      <xdr:colOff>590550</xdr:colOff>
      <xdr:row>59</xdr:row>
      <xdr:rowOff>180974</xdr:rowOff>
    </xdr:to>
    <xdr:graphicFrame macro="">
      <xdr:nvGraphicFramePr>
        <xdr:cNvPr id="4" name="Chart 20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87</xdr:row>
      <xdr:rowOff>76200</xdr:rowOff>
    </xdr:from>
    <xdr:to>
      <xdr:col>13</xdr:col>
      <xdr:colOff>596900</xdr:colOff>
      <xdr:row>110</xdr:row>
      <xdr:rowOff>123826</xdr:rowOff>
    </xdr:to>
    <xdr:graphicFrame macro="">
      <xdr:nvGraphicFramePr>
        <xdr:cNvPr id="60" name="Chart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13</xdr:col>
      <xdr:colOff>571500</xdr:colOff>
      <xdr:row>133</xdr:row>
      <xdr:rowOff>47626</xdr:rowOff>
    </xdr:to>
    <xdr:graphicFrame macro="">
      <xdr:nvGraphicFramePr>
        <xdr:cNvPr id="61" name="Chart 5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13</xdr:col>
      <xdr:colOff>571500</xdr:colOff>
      <xdr:row>157</xdr:row>
      <xdr:rowOff>47626</xdr:rowOff>
    </xdr:to>
    <xdr:graphicFrame macro="">
      <xdr:nvGraphicFramePr>
        <xdr:cNvPr id="62" name="Chart 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158</xdr:row>
      <xdr:rowOff>28575</xdr:rowOff>
    </xdr:from>
    <xdr:to>
      <xdr:col>14</xdr:col>
      <xdr:colOff>0</xdr:colOff>
      <xdr:row>181</xdr:row>
      <xdr:rowOff>76201</xdr:rowOff>
    </xdr:to>
    <xdr:graphicFrame macro="">
      <xdr:nvGraphicFramePr>
        <xdr:cNvPr id="63" name="Chart 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13</xdr:col>
      <xdr:colOff>571500</xdr:colOff>
      <xdr:row>205</xdr:row>
      <xdr:rowOff>47626</xdr:rowOff>
    </xdr:to>
    <xdr:graphicFrame macro="">
      <xdr:nvGraphicFramePr>
        <xdr:cNvPr id="64" name="Chart 1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206</xdr:row>
      <xdr:rowOff>0</xdr:rowOff>
    </xdr:from>
    <xdr:to>
      <xdr:col>13</xdr:col>
      <xdr:colOff>571500</xdr:colOff>
      <xdr:row>229</xdr:row>
      <xdr:rowOff>47626</xdr:rowOff>
    </xdr:to>
    <xdr:graphicFrame macro="">
      <xdr:nvGraphicFramePr>
        <xdr:cNvPr id="65" name="Chart 1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230</xdr:row>
      <xdr:rowOff>0</xdr:rowOff>
    </xdr:from>
    <xdr:to>
      <xdr:col>13</xdr:col>
      <xdr:colOff>571500</xdr:colOff>
      <xdr:row>253</xdr:row>
      <xdr:rowOff>47626</xdr:rowOff>
    </xdr:to>
    <xdr:graphicFrame macro="">
      <xdr:nvGraphicFramePr>
        <xdr:cNvPr id="66" name="Chart 1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254</xdr:row>
      <xdr:rowOff>0</xdr:rowOff>
    </xdr:from>
    <xdr:to>
      <xdr:col>13</xdr:col>
      <xdr:colOff>571500</xdr:colOff>
      <xdr:row>277</xdr:row>
      <xdr:rowOff>47626</xdr:rowOff>
    </xdr:to>
    <xdr:graphicFrame macro="">
      <xdr:nvGraphicFramePr>
        <xdr:cNvPr id="67" name="Chart 1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278</xdr:row>
      <xdr:rowOff>0</xdr:rowOff>
    </xdr:from>
    <xdr:to>
      <xdr:col>13</xdr:col>
      <xdr:colOff>571500</xdr:colOff>
      <xdr:row>301</xdr:row>
      <xdr:rowOff>47626</xdr:rowOff>
    </xdr:to>
    <xdr:graphicFrame macro="">
      <xdr:nvGraphicFramePr>
        <xdr:cNvPr id="68" name="Chart 1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13</xdr:col>
      <xdr:colOff>571500</xdr:colOff>
      <xdr:row>325</xdr:row>
      <xdr:rowOff>47626</xdr:rowOff>
    </xdr:to>
    <xdr:graphicFrame macro="">
      <xdr:nvGraphicFramePr>
        <xdr:cNvPr id="69" name="Chart 2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326</xdr:row>
      <xdr:rowOff>0</xdr:rowOff>
    </xdr:from>
    <xdr:to>
      <xdr:col>13</xdr:col>
      <xdr:colOff>571500</xdr:colOff>
      <xdr:row>349</xdr:row>
      <xdr:rowOff>47626</xdr:rowOff>
    </xdr:to>
    <xdr:graphicFrame macro="">
      <xdr:nvGraphicFramePr>
        <xdr:cNvPr id="70" name="Chart 2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350</xdr:row>
      <xdr:rowOff>0</xdr:rowOff>
    </xdr:from>
    <xdr:to>
      <xdr:col>13</xdr:col>
      <xdr:colOff>571500</xdr:colOff>
      <xdr:row>373</xdr:row>
      <xdr:rowOff>47626</xdr:rowOff>
    </xdr:to>
    <xdr:graphicFrame macro="">
      <xdr:nvGraphicFramePr>
        <xdr:cNvPr id="71" name="Chart 25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374</xdr:row>
      <xdr:rowOff>0</xdr:rowOff>
    </xdr:from>
    <xdr:to>
      <xdr:col>13</xdr:col>
      <xdr:colOff>571500</xdr:colOff>
      <xdr:row>397</xdr:row>
      <xdr:rowOff>47626</xdr:rowOff>
    </xdr:to>
    <xdr:graphicFrame macro="">
      <xdr:nvGraphicFramePr>
        <xdr:cNvPr id="72" name="Chart 2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398</xdr:row>
      <xdr:rowOff>0</xdr:rowOff>
    </xdr:from>
    <xdr:to>
      <xdr:col>13</xdr:col>
      <xdr:colOff>571500</xdr:colOff>
      <xdr:row>421</xdr:row>
      <xdr:rowOff>47626</xdr:rowOff>
    </xdr:to>
    <xdr:graphicFrame macro="">
      <xdr:nvGraphicFramePr>
        <xdr:cNvPr id="73" name="Chart 2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13</xdr:col>
      <xdr:colOff>571500</xdr:colOff>
      <xdr:row>445</xdr:row>
      <xdr:rowOff>47626</xdr:rowOff>
    </xdr:to>
    <xdr:graphicFrame macro="">
      <xdr:nvGraphicFramePr>
        <xdr:cNvPr id="74" name="Chart 3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446</xdr:row>
      <xdr:rowOff>0</xdr:rowOff>
    </xdr:from>
    <xdr:to>
      <xdr:col>13</xdr:col>
      <xdr:colOff>571500</xdr:colOff>
      <xdr:row>469</xdr:row>
      <xdr:rowOff>47626</xdr:rowOff>
    </xdr:to>
    <xdr:graphicFrame macro="">
      <xdr:nvGraphicFramePr>
        <xdr:cNvPr id="75" name="Chart 3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470</xdr:row>
      <xdr:rowOff>0</xdr:rowOff>
    </xdr:from>
    <xdr:to>
      <xdr:col>13</xdr:col>
      <xdr:colOff>571500</xdr:colOff>
      <xdr:row>493</xdr:row>
      <xdr:rowOff>47626</xdr:rowOff>
    </xdr:to>
    <xdr:graphicFrame macro="">
      <xdr:nvGraphicFramePr>
        <xdr:cNvPr id="76" name="Chart 3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494</xdr:row>
      <xdr:rowOff>0</xdr:rowOff>
    </xdr:from>
    <xdr:to>
      <xdr:col>13</xdr:col>
      <xdr:colOff>571500</xdr:colOff>
      <xdr:row>517</xdr:row>
      <xdr:rowOff>47626</xdr:rowOff>
    </xdr:to>
    <xdr:graphicFrame macro="">
      <xdr:nvGraphicFramePr>
        <xdr:cNvPr id="77" name="Chart 3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518</xdr:row>
      <xdr:rowOff>0</xdr:rowOff>
    </xdr:from>
    <xdr:to>
      <xdr:col>13</xdr:col>
      <xdr:colOff>571500</xdr:colOff>
      <xdr:row>541</xdr:row>
      <xdr:rowOff>47626</xdr:rowOff>
    </xdr:to>
    <xdr:graphicFrame macro="">
      <xdr:nvGraphicFramePr>
        <xdr:cNvPr id="78" name="Chart 3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38100</xdr:colOff>
      <xdr:row>542</xdr:row>
      <xdr:rowOff>76200</xdr:rowOff>
    </xdr:from>
    <xdr:to>
      <xdr:col>14</xdr:col>
      <xdr:colOff>0</xdr:colOff>
      <xdr:row>565</xdr:row>
      <xdr:rowOff>123826</xdr:rowOff>
    </xdr:to>
    <xdr:graphicFrame macro="">
      <xdr:nvGraphicFramePr>
        <xdr:cNvPr id="79" name="Chart 4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566</xdr:row>
      <xdr:rowOff>0</xdr:rowOff>
    </xdr:from>
    <xdr:to>
      <xdr:col>13</xdr:col>
      <xdr:colOff>571500</xdr:colOff>
      <xdr:row>589</xdr:row>
      <xdr:rowOff>47626</xdr:rowOff>
    </xdr:to>
    <xdr:graphicFrame macro="">
      <xdr:nvGraphicFramePr>
        <xdr:cNvPr id="80" name="Chart 4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590</xdr:row>
      <xdr:rowOff>0</xdr:rowOff>
    </xdr:from>
    <xdr:to>
      <xdr:col>13</xdr:col>
      <xdr:colOff>571500</xdr:colOff>
      <xdr:row>613</xdr:row>
      <xdr:rowOff>47626</xdr:rowOff>
    </xdr:to>
    <xdr:graphicFrame macro="">
      <xdr:nvGraphicFramePr>
        <xdr:cNvPr id="81" name="Chart 4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614</xdr:row>
      <xdr:rowOff>0</xdr:rowOff>
    </xdr:from>
    <xdr:to>
      <xdr:col>13</xdr:col>
      <xdr:colOff>571500</xdr:colOff>
      <xdr:row>637</xdr:row>
      <xdr:rowOff>47626</xdr:rowOff>
    </xdr:to>
    <xdr:graphicFrame macro="">
      <xdr:nvGraphicFramePr>
        <xdr:cNvPr id="82" name="Chart 47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638</xdr:row>
      <xdr:rowOff>0</xdr:rowOff>
    </xdr:from>
    <xdr:to>
      <xdr:col>13</xdr:col>
      <xdr:colOff>571500</xdr:colOff>
      <xdr:row>661</xdr:row>
      <xdr:rowOff>47626</xdr:rowOff>
    </xdr:to>
    <xdr:graphicFrame macro="">
      <xdr:nvGraphicFramePr>
        <xdr:cNvPr id="83" name="Chart 4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13</xdr:col>
      <xdr:colOff>571500</xdr:colOff>
      <xdr:row>685</xdr:row>
      <xdr:rowOff>47626</xdr:rowOff>
    </xdr:to>
    <xdr:graphicFrame macro="">
      <xdr:nvGraphicFramePr>
        <xdr:cNvPr id="84" name="Chart 5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686</xdr:row>
      <xdr:rowOff>0</xdr:rowOff>
    </xdr:from>
    <xdr:to>
      <xdr:col>13</xdr:col>
      <xdr:colOff>571500</xdr:colOff>
      <xdr:row>709</xdr:row>
      <xdr:rowOff>47626</xdr:rowOff>
    </xdr:to>
    <xdr:graphicFrame macro="">
      <xdr:nvGraphicFramePr>
        <xdr:cNvPr id="85" name="Chart 5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710</xdr:row>
      <xdr:rowOff>0</xdr:rowOff>
    </xdr:from>
    <xdr:to>
      <xdr:col>13</xdr:col>
      <xdr:colOff>571500</xdr:colOff>
      <xdr:row>733</xdr:row>
      <xdr:rowOff>47626</xdr:rowOff>
    </xdr:to>
    <xdr:graphicFrame macro="">
      <xdr:nvGraphicFramePr>
        <xdr:cNvPr id="86" name="Chart 5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734</xdr:row>
      <xdr:rowOff>0</xdr:rowOff>
    </xdr:from>
    <xdr:to>
      <xdr:col>13</xdr:col>
      <xdr:colOff>571500</xdr:colOff>
      <xdr:row>757</xdr:row>
      <xdr:rowOff>47626</xdr:rowOff>
    </xdr:to>
    <xdr:graphicFrame macro="">
      <xdr:nvGraphicFramePr>
        <xdr:cNvPr id="87" name="Chart 5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758</xdr:row>
      <xdr:rowOff>0</xdr:rowOff>
    </xdr:from>
    <xdr:to>
      <xdr:col>13</xdr:col>
      <xdr:colOff>571500</xdr:colOff>
      <xdr:row>781</xdr:row>
      <xdr:rowOff>47626</xdr:rowOff>
    </xdr:to>
    <xdr:graphicFrame macro="">
      <xdr:nvGraphicFramePr>
        <xdr:cNvPr id="88" name="Chart 5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0</xdr:colOff>
      <xdr:row>782</xdr:row>
      <xdr:rowOff>0</xdr:rowOff>
    </xdr:from>
    <xdr:to>
      <xdr:col>13</xdr:col>
      <xdr:colOff>571500</xdr:colOff>
      <xdr:row>805</xdr:row>
      <xdr:rowOff>47626</xdr:rowOff>
    </xdr:to>
    <xdr:graphicFrame macro="">
      <xdr:nvGraphicFramePr>
        <xdr:cNvPr id="89" name="Chart 6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806</xdr:row>
      <xdr:rowOff>0</xdr:rowOff>
    </xdr:from>
    <xdr:to>
      <xdr:col>13</xdr:col>
      <xdr:colOff>571500</xdr:colOff>
      <xdr:row>829</xdr:row>
      <xdr:rowOff>47626</xdr:rowOff>
    </xdr:to>
    <xdr:graphicFrame macro="">
      <xdr:nvGraphicFramePr>
        <xdr:cNvPr id="90" name="Chart 6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830</xdr:row>
      <xdr:rowOff>0</xdr:rowOff>
    </xdr:from>
    <xdr:to>
      <xdr:col>13</xdr:col>
      <xdr:colOff>571500</xdr:colOff>
      <xdr:row>853</xdr:row>
      <xdr:rowOff>47626</xdr:rowOff>
    </xdr:to>
    <xdr:graphicFrame macro="">
      <xdr:nvGraphicFramePr>
        <xdr:cNvPr id="91" name="Chart 65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0</xdr:colOff>
      <xdr:row>854</xdr:row>
      <xdr:rowOff>0</xdr:rowOff>
    </xdr:from>
    <xdr:to>
      <xdr:col>13</xdr:col>
      <xdr:colOff>571500</xdr:colOff>
      <xdr:row>877</xdr:row>
      <xdr:rowOff>47626</xdr:rowOff>
    </xdr:to>
    <xdr:graphicFrame macro="">
      <xdr:nvGraphicFramePr>
        <xdr:cNvPr id="92" name="Chart 67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878</xdr:row>
      <xdr:rowOff>0</xdr:rowOff>
    </xdr:from>
    <xdr:to>
      <xdr:col>13</xdr:col>
      <xdr:colOff>571500</xdr:colOff>
      <xdr:row>901</xdr:row>
      <xdr:rowOff>47626</xdr:rowOff>
    </xdr:to>
    <xdr:graphicFrame macro="">
      <xdr:nvGraphicFramePr>
        <xdr:cNvPr id="93" name="Chart 69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902</xdr:row>
      <xdr:rowOff>0</xdr:rowOff>
    </xdr:from>
    <xdr:to>
      <xdr:col>13</xdr:col>
      <xdr:colOff>571500</xdr:colOff>
      <xdr:row>925</xdr:row>
      <xdr:rowOff>47626</xdr:rowOff>
    </xdr:to>
    <xdr:graphicFrame macro="">
      <xdr:nvGraphicFramePr>
        <xdr:cNvPr id="94" name="Chart 7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0</xdr:colOff>
      <xdr:row>926</xdr:row>
      <xdr:rowOff>0</xdr:rowOff>
    </xdr:from>
    <xdr:to>
      <xdr:col>13</xdr:col>
      <xdr:colOff>571500</xdr:colOff>
      <xdr:row>949</xdr:row>
      <xdr:rowOff>47626</xdr:rowOff>
    </xdr:to>
    <xdr:graphicFrame macro="">
      <xdr:nvGraphicFramePr>
        <xdr:cNvPr id="95" name="Chart 73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0</xdr:colOff>
      <xdr:row>950</xdr:row>
      <xdr:rowOff>0</xdr:rowOff>
    </xdr:from>
    <xdr:to>
      <xdr:col>13</xdr:col>
      <xdr:colOff>571500</xdr:colOff>
      <xdr:row>973</xdr:row>
      <xdr:rowOff>47626</xdr:rowOff>
    </xdr:to>
    <xdr:graphicFrame macro="">
      <xdr:nvGraphicFramePr>
        <xdr:cNvPr id="96" name="Chart 7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0</xdr:colOff>
      <xdr:row>974</xdr:row>
      <xdr:rowOff>0</xdr:rowOff>
    </xdr:from>
    <xdr:to>
      <xdr:col>13</xdr:col>
      <xdr:colOff>571500</xdr:colOff>
      <xdr:row>997</xdr:row>
      <xdr:rowOff>47626</xdr:rowOff>
    </xdr:to>
    <xdr:graphicFrame macro="">
      <xdr:nvGraphicFramePr>
        <xdr:cNvPr id="97" name="Chart 7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998</xdr:row>
      <xdr:rowOff>0</xdr:rowOff>
    </xdr:from>
    <xdr:to>
      <xdr:col>13</xdr:col>
      <xdr:colOff>571500</xdr:colOff>
      <xdr:row>1021</xdr:row>
      <xdr:rowOff>47626</xdr:rowOff>
    </xdr:to>
    <xdr:graphicFrame macro="">
      <xdr:nvGraphicFramePr>
        <xdr:cNvPr id="98" name="Chart 7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0</xdr:colOff>
      <xdr:row>1022</xdr:row>
      <xdr:rowOff>0</xdr:rowOff>
    </xdr:from>
    <xdr:to>
      <xdr:col>13</xdr:col>
      <xdr:colOff>571500</xdr:colOff>
      <xdr:row>1045</xdr:row>
      <xdr:rowOff>47626</xdr:rowOff>
    </xdr:to>
    <xdr:graphicFrame macro="">
      <xdr:nvGraphicFramePr>
        <xdr:cNvPr id="99" name="Chart 8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0</xdr:colOff>
      <xdr:row>1046</xdr:row>
      <xdr:rowOff>0</xdr:rowOff>
    </xdr:from>
    <xdr:to>
      <xdr:col>13</xdr:col>
      <xdr:colOff>571500</xdr:colOff>
      <xdr:row>1069</xdr:row>
      <xdr:rowOff>47626</xdr:rowOff>
    </xdr:to>
    <xdr:graphicFrame macro="">
      <xdr:nvGraphicFramePr>
        <xdr:cNvPr id="100" name="Chart 8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0</xdr:col>
      <xdr:colOff>0</xdr:colOff>
      <xdr:row>1070</xdr:row>
      <xdr:rowOff>0</xdr:rowOff>
    </xdr:from>
    <xdr:to>
      <xdr:col>13</xdr:col>
      <xdr:colOff>571500</xdr:colOff>
      <xdr:row>1093</xdr:row>
      <xdr:rowOff>47626</xdr:rowOff>
    </xdr:to>
    <xdr:graphicFrame macro="">
      <xdr:nvGraphicFramePr>
        <xdr:cNvPr id="101" name="Chart 8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0</xdr:colOff>
      <xdr:row>1094</xdr:row>
      <xdr:rowOff>0</xdr:rowOff>
    </xdr:from>
    <xdr:to>
      <xdr:col>13</xdr:col>
      <xdr:colOff>571500</xdr:colOff>
      <xdr:row>1117</xdr:row>
      <xdr:rowOff>47626</xdr:rowOff>
    </xdr:to>
    <xdr:graphicFrame macro="">
      <xdr:nvGraphicFramePr>
        <xdr:cNvPr id="102" name="Chart 87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1118</xdr:row>
      <xdr:rowOff>0</xdr:rowOff>
    </xdr:from>
    <xdr:to>
      <xdr:col>13</xdr:col>
      <xdr:colOff>571500</xdr:colOff>
      <xdr:row>1141</xdr:row>
      <xdr:rowOff>47626</xdr:rowOff>
    </xdr:to>
    <xdr:graphicFrame macro="">
      <xdr:nvGraphicFramePr>
        <xdr:cNvPr id="103" name="Chart 8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0</xdr:colOff>
      <xdr:row>1142</xdr:row>
      <xdr:rowOff>0</xdr:rowOff>
    </xdr:from>
    <xdr:to>
      <xdr:col>13</xdr:col>
      <xdr:colOff>571500</xdr:colOff>
      <xdr:row>1165</xdr:row>
      <xdr:rowOff>47626</xdr:rowOff>
    </xdr:to>
    <xdr:graphicFrame macro="">
      <xdr:nvGraphicFramePr>
        <xdr:cNvPr id="104" name="Chart 9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0</xdr:colOff>
      <xdr:row>1166</xdr:row>
      <xdr:rowOff>0</xdr:rowOff>
    </xdr:from>
    <xdr:to>
      <xdr:col>13</xdr:col>
      <xdr:colOff>571500</xdr:colOff>
      <xdr:row>1189</xdr:row>
      <xdr:rowOff>47626</xdr:rowOff>
    </xdr:to>
    <xdr:graphicFrame macro="">
      <xdr:nvGraphicFramePr>
        <xdr:cNvPr id="105" name="Chart 93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0</xdr:colOff>
      <xdr:row>1190</xdr:row>
      <xdr:rowOff>0</xdr:rowOff>
    </xdr:from>
    <xdr:to>
      <xdr:col>13</xdr:col>
      <xdr:colOff>571500</xdr:colOff>
      <xdr:row>1213</xdr:row>
      <xdr:rowOff>47626</xdr:rowOff>
    </xdr:to>
    <xdr:graphicFrame macro="">
      <xdr:nvGraphicFramePr>
        <xdr:cNvPr id="106" name="Chart 9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0</xdr:col>
      <xdr:colOff>0</xdr:colOff>
      <xdr:row>1214</xdr:row>
      <xdr:rowOff>0</xdr:rowOff>
    </xdr:from>
    <xdr:to>
      <xdr:col>13</xdr:col>
      <xdr:colOff>571500</xdr:colOff>
      <xdr:row>1237</xdr:row>
      <xdr:rowOff>47626</xdr:rowOff>
    </xdr:to>
    <xdr:graphicFrame macro="">
      <xdr:nvGraphicFramePr>
        <xdr:cNvPr id="107" name="Chart 9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0</xdr:col>
      <xdr:colOff>0</xdr:colOff>
      <xdr:row>1238</xdr:row>
      <xdr:rowOff>0</xdr:rowOff>
    </xdr:from>
    <xdr:to>
      <xdr:col>13</xdr:col>
      <xdr:colOff>571500</xdr:colOff>
      <xdr:row>1261</xdr:row>
      <xdr:rowOff>47626</xdr:rowOff>
    </xdr:to>
    <xdr:graphicFrame macro="">
      <xdr:nvGraphicFramePr>
        <xdr:cNvPr id="108" name="Chart 9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129540</xdr:colOff>
      <xdr:row>60</xdr:row>
      <xdr:rowOff>96520</xdr:rowOff>
    </xdr:from>
    <xdr:to>
      <xdr:col>14</xdr:col>
      <xdr:colOff>91440</xdr:colOff>
      <xdr:row>83</xdr:row>
      <xdr:rowOff>136526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14</xdr:col>
      <xdr:colOff>76200</xdr:colOff>
      <xdr:row>61</xdr:row>
      <xdr:rowOff>101600</xdr:rowOff>
    </xdr:from>
    <xdr:to>
      <xdr:col>18</xdr:col>
      <xdr:colOff>381000</xdr:colOff>
      <xdr:row>84</xdr:row>
      <xdr:rowOff>149225</xdr:rowOff>
    </xdr:to>
    <xdr:graphicFrame macro="">
      <xdr:nvGraphicFramePr>
        <xdr:cNvPr id="54" name="Chart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14</xdr:col>
      <xdr:colOff>76200</xdr:colOff>
      <xdr:row>87</xdr:row>
      <xdr:rowOff>76200</xdr:rowOff>
    </xdr:from>
    <xdr:to>
      <xdr:col>18</xdr:col>
      <xdr:colOff>381000</xdr:colOff>
      <xdr:row>110</xdr:row>
      <xdr:rowOff>123825</xdr:rowOff>
    </xdr:to>
    <xdr:graphicFrame macro="">
      <xdr:nvGraphicFramePr>
        <xdr:cNvPr id="55" name="Chart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14</xdr:col>
      <xdr:colOff>0</xdr:colOff>
      <xdr:row>110</xdr:row>
      <xdr:rowOff>0</xdr:rowOff>
    </xdr:from>
    <xdr:to>
      <xdr:col>18</xdr:col>
      <xdr:colOff>304800</xdr:colOff>
      <xdr:row>133</xdr:row>
      <xdr:rowOff>47625</xdr:rowOff>
    </xdr:to>
    <xdr:graphicFrame macro="">
      <xdr:nvGraphicFramePr>
        <xdr:cNvPr id="56" name="Chart 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14</xdr:col>
      <xdr:colOff>0</xdr:colOff>
      <xdr:row>134</xdr:row>
      <xdr:rowOff>0</xdr:rowOff>
    </xdr:from>
    <xdr:to>
      <xdr:col>18</xdr:col>
      <xdr:colOff>304800</xdr:colOff>
      <xdr:row>157</xdr:row>
      <xdr:rowOff>47625</xdr:rowOff>
    </xdr:to>
    <xdr:graphicFrame macro="">
      <xdr:nvGraphicFramePr>
        <xdr:cNvPr id="57" name="Chart 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14</xdr:col>
      <xdr:colOff>0</xdr:colOff>
      <xdr:row>158</xdr:row>
      <xdr:rowOff>0</xdr:rowOff>
    </xdr:from>
    <xdr:to>
      <xdr:col>18</xdr:col>
      <xdr:colOff>304800</xdr:colOff>
      <xdr:row>181</xdr:row>
      <xdr:rowOff>47625</xdr:rowOff>
    </xdr:to>
    <xdr:graphicFrame macro="">
      <xdr:nvGraphicFramePr>
        <xdr:cNvPr id="58" name="Chart 1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14</xdr:col>
      <xdr:colOff>0</xdr:colOff>
      <xdr:row>182</xdr:row>
      <xdr:rowOff>0</xdr:rowOff>
    </xdr:from>
    <xdr:to>
      <xdr:col>18</xdr:col>
      <xdr:colOff>304800</xdr:colOff>
      <xdr:row>205</xdr:row>
      <xdr:rowOff>47625</xdr:rowOff>
    </xdr:to>
    <xdr:graphicFrame macro="">
      <xdr:nvGraphicFramePr>
        <xdr:cNvPr id="59" name="Chart 1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14</xdr:col>
      <xdr:colOff>0</xdr:colOff>
      <xdr:row>206</xdr:row>
      <xdr:rowOff>0</xdr:rowOff>
    </xdr:from>
    <xdr:to>
      <xdr:col>18</xdr:col>
      <xdr:colOff>304800</xdr:colOff>
      <xdr:row>229</xdr:row>
      <xdr:rowOff>47625</xdr:rowOff>
    </xdr:to>
    <xdr:graphicFrame macro="">
      <xdr:nvGraphicFramePr>
        <xdr:cNvPr id="109" name="Chart 1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14</xdr:col>
      <xdr:colOff>0</xdr:colOff>
      <xdr:row>230</xdr:row>
      <xdr:rowOff>0</xdr:rowOff>
    </xdr:from>
    <xdr:to>
      <xdr:col>18</xdr:col>
      <xdr:colOff>304800</xdr:colOff>
      <xdr:row>253</xdr:row>
      <xdr:rowOff>47625</xdr:rowOff>
    </xdr:to>
    <xdr:graphicFrame macro="">
      <xdr:nvGraphicFramePr>
        <xdr:cNvPr id="110" name="Chart 16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14</xdr:col>
      <xdr:colOff>0</xdr:colOff>
      <xdr:row>254</xdr:row>
      <xdr:rowOff>0</xdr:rowOff>
    </xdr:from>
    <xdr:to>
      <xdr:col>18</xdr:col>
      <xdr:colOff>304800</xdr:colOff>
      <xdr:row>277</xdr:row>
      <xdr:rowOff>47625</xdr:rowOff>
    </xdr:to>
    <xdr:graphicFrame macro="">
      <xdr:nvGraphicFramePr>
        <xdr:cNvPr id="111" name="Chart 18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14</xdr:col>
      <xdr:colOff>0</xdr:colOff>
      <xdr:row>278</xdr:row>
      <xdr:rowOff>0</xdr:rowOff>
    </xdr:from>
    <xdr:to>
      <xdr:col>18</xdr:col>
      <xdr:colOff>304800</xdr:colOff>
      <xdr:row>301</xdr:row>
      <xdr:rowOff>47625</xdr:rowOff>
    </xdr:to>
    <xdr:graphicFrame macro="">
      <xdr:nvGraphicFramePr>
        <xdr:cNvPr id="112" name="Chart 20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14</xdr:col>
      <xdr:colOff>0</xdr:colOff>
      <xdr:row>302</xdr:row>
      <xdr:rowOff>0</xdr:rowOff>
    </xdr:from>
    <xdr:to>
      <xdr:col>18</xdr:col>
      <xdr:colOff>304800</xdr:colOff>
      <xdr:row>325</xdr:row>
      <xdr:rowOff>47625</xdr:rowOff>
    </xdr:to>
    <xdr:graphicFrame macro="">
      <xdr:nvGraphicFramePr>
        <xdr:cNvPr id="113" name="Chart 2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14</xdr:col>
      <xdr:colOff>0</xdr:colOff>
      <xdr:row>326</xdr:row>
      <xdr:rowOff>0</xdr:rowOff>
    </xdr:from>
    <xdr:to>
      <xdr:col>18</xdr:col>
      <xdr:colOff>304800</xdr:colOff>
      <xdr:row>349</xdr:row>
      <xdr:rowOff>47625</xdr:rowOff>
    </xdr:to>
    <xdr:graphicFrame macro="">
      <xdr:nvGraphicFramePr>
        <xdr:cNvPr id="114" name="Chart 2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14</xdr:col>
      <xdr:colOff>0</xdr:colOff>
      <xdr:row>350</xdr:row>
      <xdr:rowOff>0</xdr:rowOff>
    </xdr:from>
    <xdr:to>
      <xdr:col>18</xdr:col>
      <xdr:colOff>304800</xdr:colOff>
      <xdr:row>373</xdr:row>
      <xdr:rowOff>47625</xdr:rowOff>
    </xdr:to>
    <xdr:graphicFrame macro="">
      <xdr:nvGraphicFramePr>
        <xdr:cNvPr id="115" name="Chart 2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14</xdr:col>
      <xdr:colOff>0</xdr:colOff>
      <xdr:row>374</xdr:row>
      <xdr:rowOff>0</xdr:rowOff>
    </xdr:from>
    <xdr:to>
      <xdr:col>18</xdr:col>
      <xdr:colOff>304800</xdr:colOff>
      <xdr:row>397</xdr:row>
      <xdr:rowOff>47625</xdr:rowOff>
    </xdr:to>
    <xdr:graphicFrame macro="">
      <xdr:nvGraphicFramePr>
        <xdr:cNvPr id="116" name="Chart 28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14</xdr:col>
      <xdr:colOff>76200</xdr:colOff>
      <xdr:row>397</xdr:row>
      <xdr:rowOff>180975</xdr:rowOff>
    </xdr:from>
    <xdr:to>
      <xdr:col>18</xdr:col>
      <xdr:colOff>381000</xdr:colOff>
      <xdr:row>421</xdr:row>
      <xdr:rowOff>38100</xdr:rowOff>
    </xdr:to>
    <xdr:graphicFrame macro="">
      <xdr:nvGraphicFramePr>
        <xdr:cNvPr id="117" name="Chart 30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14</xdr:col>
      <xdr:colOff>0</xdr:colOff>
      <xdr:row>422</xdr:row>
      <xdr:rowOff>0</xdr:rowOff>
    </xdr:from>
    <xdr:to>
      <xdr:col>18</xdr:col>
      <xdr:colOff>304800</xdr:colOff>
      <xdr:row>445</xdr:row>
      <xdr:rowOff>47625</xdr:rowOff>
    </xdr:to>
    <xdr:graphicFrame macro="">
      <xdr:nvGraphicFramePr>
        <xdr:cNvPr id="118" name="Chart 32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14</xdr:col>
      <xdr:colOff>0</xdr:colOff>
      <xdr:row>446</xdr:row>
      <xdr:rowOff>0</xdr:rowOff>
    </xdr:from>
    <xdr:to>
      <xdr:col>18</xdr:col>
      <xdr:colOff>304800</xdr:colOff>
      <xdr:row>469</xdr:row>
      <xdr:rowOff>47625</xdr:rowOff>
    </xdr:to>
    <xdr:graphicFrame macro="">
      <xdr:nvGraphicFramePr>
        <xdr:cNvPr id="119" name="Chart 3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14</xdr:col>
      <xdr:colOff>0</xdr:colOff>
      <xdr:row>470</xdr:row>
      <xdr:rowOff>0</xdr:rowOff>
    </xdr:from>
    <xdr:to>
      <xdr:col>18</xdr:col>
      <xdr:colOff>304800</xdr:colOff>
      <xdr:row>493</xdr:row>
      <xdr:rowOff>47625</xdr:rowOff>
    </xdr:to>
    <xdr:graphicFrame macro="">
      <xdr:nvGraphicFramePr>
        <xdr:cNvPr id="120" name="Chart 36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14</xdr:col>
      <xdr:colOff>0</xdr:colOff>
      <xdr:row>494</xdr:row>
      <xdr:rowOff>0</xdr:rowOff>
    </xdr:from>
    <xdr:to>
      <xdr:col>18</xdr:col>
      <xdr:colOff>304800</xdr:colOff>
      <xdr:row>517</xdr:row>
      <xdr:rowOff>47625</xdr:rowOff>
    </xdr:to>
    <xdr:graphicFrame macro="">
      <xdr:nvGraphicFramePr>
        <xdr:cNvPr id="121" name="Chart 38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14</xdr:col>
      <xdr:colOff>0</xdr:colOff>
      <xdr:row>518</xdr:row>
      <xdr:rowOff>0</xdr:rowOff>
    </xdr:from>
    <xdr:to>
      <xdr:col>18</xdr:col>
      <xdr:colOff>304800</xdr:colOff>
      <xdr:row>541</xdr:row>
      <xdr:rowOff>47625</xdr:rowOff>
    </xdr:to>
    <xdr:graphicFrame macro="">
      <xdr:nvGraphicFramePr>
        <xdr:cNvPr id="122" name="Chart 40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14</xdr:col>
      <xdr:colOff>0</xdr:colOff>
      <xdr:row>542</xdr:row>
      <xdr:rowOff>0</xdr:rowOff>
    </xdr:from>
    <xdr:to>
      <xdr:col>18</xdr:col>
      <xdr:colOff>304800</xdr:colOff>
      <xdr:row>565</xdr:row>
      <xdr:rowOff>47625</xdr:rowOff>
    </xdr:to>
    <xdr:graphicFrame macro="">
      <xdr:nvGraphicFramePr>
        <xdr:cNvPr id="123" name="Chart 4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14</xdr:col>
      <xdr:colOff>0</xdr:colOff>
      <xdr:row>566</xdr:row>
      <xdr:rowOff>0</xdr:rowOff>
    </xdr:from>
    <xdr:to>
      <xdr:col>18</xdr:col>
      <xdr:colOff>304800</xdr:colOff>
      <xdr:row>589</xdr:row>
      <xdr:rowOff>47625</xdr:rowOff>
    </xdr:to>
    <xdr:graphicFrame macro="">
      <xdr:nvGraphicFramePr>
        <xdr:cNvPr id="124" name="Chart 4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14</xdr:col>
      <xdr:colOff>0</xdr:colOff>
      <xdr:row>590</xdr:row>
      <xdr:rowOff>0</xdr:rowOff>
    </xdr:from>
    <xdr:to>
      <xdr:col>18</xdr:col>
      <xdr:colOff>304800</xdr:colOff>
      <xdr:row>613</xdr:row>
      <xdr:rowOff>47625</xdr:rowOff>
    </xdr:to>
    <xdr:graphicFrame macro="">
      <xdr:nvGraphicFramePr>
        <xdr:cNvPr id="125" name="Chart 46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14</xdr:col>
      <xdr:colOff>0</xdr:colOff>
      <xdr:row>614</xdr:row>
      <xdr:rowOff>0</xdr:rowOff>
    </xdr:from>
    <xdr:to>
      <xdr:col>18</xdr:col>
      <xdr:colOff>304800</xdr:colOff>
      <xdr:row>637</xdr:row>
      <xdr:rowOff>47625</xdr:rowOff>
    </xdr:to>
    <xdr:graphicFrame macro="">
      <xdr:nvGraphicFramePr>
        <xdr:cNvPr id="126" name="Chart 48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14</xdr:col>
      <xdr:colOff>0</xdr:colOff>
      <xdr:row>638</xdr:row>
      <xdr:rowOff>0</xdr:rowOff>
    </xdr:from>
    <xdr:to>
      <xdr:col>18</xdr:col>
      <xdr:colOff>304800</xdr:colOff>
      <xdr:row>661</xdr:row>
      <xdr:rowOff>47625</xdr:rowOff>
    </xdr:to>
    <xdr:graphicFrame macro="">
      <xdr:nvGraphicFramePr>
        <xdr:cNvPr id="127" name="Chart 50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14</xdr:col>
      <xdr:colOff>0</xdr:colOff>
      <xdr:row>662</xdr:row>
      <xdr:rowOff>0</xdr:rowOff>
    </xdr:from>
    <xdr:to>
      <xdr:col>18</xdr:col>
      <xdr:colOff>304800</xdr:colOff>
      <xdr:row>685</xdr:row>
      <xdr:rowOff>47625</xdr:rowOff>
    </xdr:to>
    <xdr:graphicFrame macro="">
      <xdr:nvGraphicFramePr>
        <xdr:cNvPr id="128" name="Chart 52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14</xdr:col>
      <xdr:colOff>0</xdr:colOff>
      <xdr:row>686</xdr:row>
      <xdr:rowOff>0</xdr:rowOff>
    </xdr:from>
    <xdr:to>
      <xdr:col>18</xdr:col>
      <xdr:colOff>304800</xdr:colOff>
      <xdr:row>709</xdr:row>
      <xdr:rowOff>47625</xdr:rowOff>
    </xdr:to>
    <xdr:graphicFrame macro="">
      <xdr:nvGraphicFramePr>
        <xdr:cNvPr id="129" name="Chart 5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14</xdr:col>
      <xdr:colOff>0</xdr:colOff>
      <xdr:row>710</xdr:row>
      <xdr:rowOff>0</xdr:rowOff>
    </xdr:from>
    <xdr:to>
      <xdr:col>18</xdr:col>
      <xdr:colOff>304800</xdr:colOff>
      <xdr:row>733</xdr:row>
      <xdr:rowOff>47625</xdr:rowOff>
    </xdr:to>
    <xdr:graphicFrame macro="">
      <xdr:nvGraphicFramePr>
        <xdr:cNvPr id="130" name="Chart 56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14</xdr:col>
      <xdr:colOff>0</xdr:colOff>
      <xdr:row>734</xdr:row>
      <xdr:rowOff>0</xdr:rowOff>
    </xdr:from>
    <xdr:to>
      <xdr:col>18</xdr:col>
      <xdr:colOff>304800</xdr:colOff>
      <xdr:row>757</xdr:row>
      <xdr:rowOff>47625</xdr:rowOff>
    </xdr:to>
    <xdr:graphicFrame macro="">
      <xdr:nvGraphicFramePr>
        <xdr:cNvPr id="131" name="Chart 58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14</xdr:col>
      <xdr:colOff>0</xdr:colOff>
      <xdr:row>758</xdr:row>
      <xdr:rowOff>0</xdr:rowOff>
    </xdr:from>
    <xdr:to>
      <xdr:col>18</xdr:col>
      <xdr:colOff>304800</xdr:colOff>
      <xdr:row>781</xdr:row>
      <xdr:rowOff>47625</xdr:rowOff>
    </xdr:to>
    <xdr:graphicFrame macro="">
      <xdr:nvGraphicFramePr>
        <xdr:cNvPr id="132" name="Chart 60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14</xdr:col>
      <xdr:colOff>0</xdr:colOff>
      <xdr:row>782</xdr:row>
      <xdr:rowOff>0</xdr:rowOff>
    </xdr:from>
    <xdr:to>
      <xdr:col>18</xdr:col>
      <xdr:colOff>304800</xdr:colOff>
      <xdr:row>805</xdr:row>
      <xdr:rowOff>47625</xdr:rowOff>
    </xdr:to>
    <xdr:graphicFrame macro="">
      <xdr:nvGraphicFramePr>
        <xdr:cNvPr id="133" name="Chart 6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14</xdr:col>
      <xdr:colOff>0</xdr:colOff>
      <xdr:row>806</xdr:row>
      <xdr:rowOff>0</xdr:rowOff>
    </xdr:from>
    <xdr:to>
      <xdr:col>18</xdr:col>
      <xdr:colOff>304800</xdr:colOff>
      <xdr:row>829</xdr:row>
      <xdr:rowOff>47625</xdr:rowOff>
    </xdr:to>
    <xdr:graphicFrame macro="">
      <xdr:nvGraphicFramePr>
        <xdr:cNvPr id="134" name="Chart 6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14</xdr:col>
      <xdr:colOff>0</xdr:colOff>
      <xdr:row>830</xdr:row>
      <xdr:rowOff>0</xdr:rowOff>
    </xdr:from>
    <xdr:to>
      <xdr:col>18</xdr:col>
      <xdr:colOff>304800</xdr:colOff>
      <xdr:row>853</xdr:row>
      <xdr:rowOff>47625</xdr:rowOff>
    </xdr:to>
    <xdr:graphicFrame macro="">
      <xdr:nvGraphicFramePr>
        <xdr:cNvPr id="135" name="Chart 66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14</xdr:col>
      <xdr:colOff>0</xdr:colOff>
      <xdr:row>854</xdr:row>
      <xdr:rowOff>0</xdr:rowOff>
    </xdr:from>
    <xdr:to>
      <xdr:col>18</xdr:col>
      <xdr:colOff>304800</xdr:colOff>
      <xdr:row>877</xdr:row>
      <xdr:rowOff>47625</xdr:rowOff>
    </xdr:to>
    <xdr:graphicFrame macro="">
      <xdr:nvGraphicFramePr>
        <xdr:cNvPr id="136" name="Chart 68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14</xdr:col>
      <xdr:colOff>0</xdr:colOff>
      <xdr:row>878</xdr:row>
      <xdr:rowOff>0</xdr:rowOff>
    </xdr:from>
    <xdr:to>
      <xdr:col>18</xdr:col>
      <xdr:colOff>304800</xdr:colOff>
      <xdr:row>901</xdr:row>
      <xdr:rowOff>47625</xdr:rowOff>
    </xdr:to>
    <xdr:graphicFrame macro="">
      <xdr:nvGraphicFramePr>
        <xdr:cNvPr id="137" name="Chart 70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14</xdr:col>
      <xdr:colOff>0</xdr:colOff>
      <xdr:row>902</xdr:row>
      <xdr:rowOff>0</xdr:rowOff>
    </xdr:from>
    <xdr:to>
      <xdr:col>18</xdr:col>
      <xdr:colOff>304800</xdr:colOff>
      <xdr:row>925</xdr:row>
      <xdr:rowOff>47625</xdr:rowOff>
    </xdr:to>
    <xdr:graphicFrame macro="">
      <xdr:nvGraphicFramePr>
        <xdr:cNvPr id="138" name="Chart 72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14</xdr:col>
      <xdr:colOff>0</xdr:colOff>
      <xdr:row>926</xdr:row>
      <xdr:rowOff>0</xdr:rowOff>
    </xdr:from>
    <xdr:to>
      <xdr:col>18</xdr:col>
      <xdr:colOff>304800</xdr:colOff>
      <xdr:row>949</xdr:row>
      <xdr:rowOff>47625</xdr:rowOff>
    </xdr:to>
    <xdr:graphicFrame macro="">
      <xdr:nvGraphicFramePr>
        <xdr:cNvPr id="139" name="Chart 7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14</xdr:col>
      <xdr:colOff>0</xdr:colOff>
      <xdr:row>950</xdr:row>
      <xdr:rowOff>0</xdr:rowOff>
    </xdr:from>
    <xdr:to>
      <xdr:col>18</xdr:col>
      <xdr:colOff>304800</xdr:colOff>
      <xdr:row>973</xdr:row>
      <xdr:rowOff>47625</xdr:rowOff>
    </xdr:to>
    <xdr:graphicFrame macro="">
      <xdr:nvGraphicFramePr>
        <xdr:cNvPr id="140" name="Chart 76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14</xdr:col>
      <xdr:colOff>0</xdr:colOff>
      <xdr:row>974</xdr:row>
      <xdr:rowOff>0</xdr:rowOff>
    </xdr:from>
    <xdr:to>
      <xdr:col>18</xdr:col>
      <xdr:colOff>304800</xdr:colOff>
      <xdr:row>997</xdr:row>
      <xdr:rowOff>47625</xdr:rowOff>
    </xdr:to>
    <xdr:graphicFrame macro="">
      <xdr:nvGraphicFramePr>
        <xdr:cNvPr id="141" name="Chart 78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14</xdr:col>
      <xdr:colOff>0</xdr:colOff>
      <xdr:row>998</xdr:row>
      <xdr:rowOff>0</xdr:rowOff>
    </xdr:from>
    <xdr:to>
      <xdr:col>18</xdr:col>
      <xdr:colOff>304800</xdr:colOff>
      <xdr:row>1021</xdr:row>
      <xdr:rowOff>47625</xdr:rowOff>
    </xdr:to>
    <xdr:graphicFrame macro="">
      <xdr:nvGraphicFramePr>
        <xdr:cNvPr id="142" name="Chart 80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14</xdr:col>
      <xdr:colOff>28575</xdr:colOff>
      <xdr:row>1021</xdr:row>
      <xdr:rowOff>142875</xdr:rowOff>
    </xdr:from>
    <xdr:to>
      <xdr:col>18</xdr:col>
      <xdr:colOff>333375</xdr:colOff>
      <xdr:row>1045</xdr:row>
      <xdr:rowOff>0</xdr:rowOff>
    </xdr:to>
    <xdr:graphicFrame macro="">
      <xdr:nvGraphicFramePr>
        <xdr:cNvPr id="143" name="Chart 8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14</xdr:col>
      <xdr:colOff>0</xdr:colOff>
      <xdr:row>1046</xdr:row>
      <xdr:rowOff>0</xdr:rowOff>
    </xdr:from>
    <xdr:to>
      <xdr:col>18</xdr:col>
      <xdr:colOff>304800</xdr:colOff>
      <xdr:row>1069</xdr:row>
      <xdr:rowOff>47625</xdr:rowOff>
    </xdr:to>
    <xdr:graphicFrame macro="">
      <xdr:nvGraphicFramePr>
        <xdr:cNvPr id="144" name="Chart 8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14</xdr:col>
      <xdr:colOff>0</xdr:colOff>
      <xdr:row>1070</xdr:row>
      <xdr:rowOff>0</xdr:rowOff>
    </xdr:from>
    <xdr:to>
      <xdr:col>18</xdr:col>
      <xdr:colOff>304800</xdr:colOff>
      <xdr:row>1093</xdr:row>
      <xdr:rowOff>47625</xdr:rowOff>
    </xdr:to>
    <xdr:graphicFrame macro="">
      <xdr:nvGraphicFramePr>
        <xdr:cNvPr id="145" name="Chart 8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14</xdr:col>
      <xdr:colOff>0</xdr:colOff>
      <xdr:row>1094</xdr:row>
      <xdr:rowOff>0</xdr:rowOff>
    </xdr:from>
    <xdr:to>
      <xdr:col>18</xdr:col>
      <xdr:colOff>304800</xdr:colOff>
      <xdr:row>1117</xdr:row>
      <xdr:rowOff>47625</xdr:rowOff>
    </xdr:to>
    <xdr:graphicFrame macro="">
      <xdr:nvGraphicFramePr>
        <xdr:cNvPr id="146" name="Chart 88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14</xdr:col>
      <xdr:colOff>0</xdr:colOff>
      <xdr:row>1118</xdr:row>
      <xdr:rowOff>0</xdr:rowOff>
    </xdr:from>
    <xdr:to>
      <xdr:col>18</xdr:col>
      <xdr:colOff>304800</xdr:colOff>
      <xdr:row>1141</xdr:row>
      <xdr:rowOff>47625</xdr:rowOff>
    </xdr:to>
    <xdr:graphicFrame macro="">
      <xdr:nvGraphicFramePr>
        <xdr:cNvPr id="147" name="Chart 9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14</xdr:col>
      <xdr:colOff>0</xdr:colOff>
      <xdr:row>1142</xdr:row>
      <xdr:rowOff>0</xdr:rowOff>
    </xdr:from>
    <xdr:to>
      <xdr:col>18</xdr:col>
      <xdr:colOff>304800</xdr:colOff>
      <xdr:row>1165</xdr:row>
      <xdr:rowOff>47625</xdr:rowOff>
    </xdr:to>
    <xdr:graphicFrame macro="">
      <xdr:nvGraphicFramePr>
        <xdr:cNvPr id="148" name="Chart 9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14</xdr:col>
      <xdr:colOff>0</xdr:colOff>
      <xdr:row>1166</xdr:row>
      <xdr:rowOff>0</xdr:rowOff>
    </xdr:from>
    <xdr:to>
      <xdr:col>18</xdr:col>
      <xdr:colOff>304800</xdr:colOff>
      <xdr:row>1189</xdr:row>
      <xdr:rowOff>47625</xdr:rowOff>
    </xdr:to>
    <xdr:graphicFrame macro="">
      <xdr:nvGraphicFramePr>
        <xdr:cNvPr id="149" name="Chart 9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14</xdr:col>
      <xdr:colOff>0</xdr:colOff>
      <xdr:row>1190</xdr:row>
      <xdr:rowOff>0</xdr:rowOff>
    </xdr:from>
    <xdr:to>
      <xdr:col>18</xdr:col>
      <xdr:colOff>304800</xdr:colOff>
      <xdr:row>1213</xdr:row>
      <xdr:rowOff>47625</xdr:rowOff>
    </xdr:to>
    <xdr:graphicFrame macro="">
      <xdr:nvGraphicFramePr>
        <xdr:cNvPr id="150" name="Chart 96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14</xdr:col>
      <xdr:colOff>0</xdr:colOff>
      <xdr:row>1214</xdr:row>
      <xdr:rowOff>0</xdr:rowOff>
    </xdr:from>
    <xdr:to>
      <xdr:col>18</xdr:col>
      <xdr:colOff>304800</xdr:colOff>
      <xdr:row>1237</xdr:row>
      <xdr:rowOff>47625</xdr:rowOff>
    </xdr:to>
    <xdr:graphicFrame macro="">
      <xdr:nvGraphicFramePr>
        <xdr:cNvPr id="151" name="Chart 98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14</xdr:col>
      <xdr:colOff>0</xdr:colOff>
      <xdr:row>1238</xdr:row>
      <xdr:rowOff>0</xdr:rowOff>
    </xdr:from>
    <xdr:to>
      <xdr:col>18</xdr:col>
      <xdr:colOff>304800</xdr:colOff>
      <xdr:row>1261</xdr:row>
      <xdr:rowOff>47625</xdr:rowOff>
    </xdr:to>
    <xdr:graphicFrame macro="">
      <xdr:nvGraphicFramePr>
        <xdr:cNvPr id="152" name="Chart 100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62"/>
  <sheetViews>
    <sheetView zoomScale="50" zoomScaleNormal="50" workbookViewId="0">
      <selection activeCell="AD38" sqref="AD38"/>
    </sheetView>
  </sheetViews>
  <sheetFormatPr defaultRowHeight="14.4" x14ac:dyDescent="0.3"/>
  <cols>
    <col min="1" max="1" width="10.88671875" bestFit="1" customWidth="1"/>
    <col min="2" max="2" width="18.88671875" bestFit="1" customWidth="1"/>
    <col min="3" max="3" width="17.33203125" bestFit="1" customWidth="1"/>
    <col min="15" max="15" width="14.5546875" bestFit="1" customWidth="1"/>
    <col min="16" max="16" width="16.5546875" bestFit="1" customWidth="1"/>
    <col min="17" max="17" width="18.44140625" bestFit="1" customWidth="1"/>
    <col min="18" max="18" width="14.44140625" bestFit="1" customWidth="1"/>
  </cols>
  <sheetData>
    <row r="62" spans="1:1" x14ac:dyDescent="0.3">
      <c r="A62">
        <f>Information!C4-20</f>
        <v>-20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5"/>
  <sheetViews>
    <sheetView topLeftCell="A3" workbookViewId="0">
      <selection activeCell="Q6" sqref="Q6"/>
    </sheetView>
  </sheetViews>
  <sheetFormatPr defaultRowHeight="14.4" x14ac:dyDescent="0.3"/>
  <cols>
    <col min="1" max="1" width="10.6640625" style="8" bestFit="1" customWidth="1"/>
    <col min="12" max="12" width="10.44140625" customWidth="1"/>
    <col min="13" max="13" width="9.6640625" bestFit="1" customWidth="1"/>
    <col min="15" max="15" width="10" bestFit="1" customWidth="1"/>
    <col min="16" max="17" width="13.88671875" bestFit="1" customWidth="1"/>
  </cols>
  <sheetData>
    <row r="1" spans="1:17" ht="15" thickBot="1" x14ac:dyDescent="0.35">
      <c r="A1" s="31"/>
      <c r="B1" s="82" t="s">
        <v>1</v>
      </c>
      <c r="C1" s="83"/>
      <c r="D1" s="83"/>
      <c r="E1" s="84"/>
      <c r="F1" s="85" t="s">
        <v>2</v>
      </c>
      <c r="G1" s="86"/>
      <c r="H1" s="87" t="s">
        <v>3</v>
      </c>
      <c r="I1" s="88"/>
      <c r="J1" s="88"/>
      <c r="K1" s="88"/>
      <c r="L1" s="89"/>
      <c r="M1" s="82" t="s">
        <v>4</v>
      </c>
      <c r="N1" s="83"/>
      <c r="O1" s="83"/>
      <c r="P1" s="16" t="s">
        <v>21</v>
      </c>
      <c r="Q1" s="17">
        <f>Information!C5</f>
        <v>0</v>
      </c>
    </row>
    <row r="2" spans="1:17" ht="43.8" thickBot="1" x14ac:dyDescent="0.35">
      <c r="A2" s="37" t="s">
        <v>6</v>
      </c>
      <c r="B2" s="38" t="s">
        <v>7</v>
      </c>
      <c r="C2" s="39" t="s">
        <v>0</v>
      </c>
      <c r="D2" s="39" t="s">
        <v>8</v>
      </c>
      <c r="E2" s="41" t="s">
        <v>9</v>
      </c>
      <c r="F2" s="42" t="s">
        <v>10</v>
      </c>
      <c r="G2" s="40" t="s">
        <v>11</v>
      </c>
      <c r="H2" s="42" t="s">
        <v>7</v>
      </c>
      <c r="I2" s="39" t="s">
        <v>0</v>
      </c>
      <c r="J2" s="39" t="s">
        <v>8</v>
      </c>
      <c r="K2" s="41" t="s">
        <v>12</v>
      </c>
      <c r="L2" s="51" t="s">
        <v>33</v>
      </c>
      <c r="M2" s="38" t="s">
        <v>7</v>
      </c>
      <c r="N2" s="39" t="s">
        <v>0</v>
      </c>
      <c r="O2" s="40" t="s">
        <v>8</v>
      </c>
      <c r="P2" s="80"/>
      <c r="Q2" s="81"/>
    </row>
    <row r="3" spans="1:17" ht="15" thickBot="1" x14ac:dyDescent="0.35">
      <c r="A3" s="32">
        <f>Sheet1!L1</f>
        <v>0</v>
      </c>
      <c r="B3" s="33">
        <f>MIN(Sheet1!B2:B5000)</f>
        <v>0</v>
      </c>
      <c r="C3" s="34">
        <f>AVERAGE(Sheet1!B2:B5000)</f>
        <v>0</v>
      </c>
      <c r="D3" s="34">
        <f>MAX(Sheet1!B2:B5000)</f>
        <v>0</v>
      </c>
      <c r="E3" s="34">
        <f>Sheet1!G2</f>
        <v>0</v>
      </c>
      <c r="F3" s="34">
        <f>MIN(Sheet1!A2:A5000)</f>
        <v>0</v>
      </c>
      <c r="G3" s="34">
        <f>MAX(Sheet1!A2:A5000)</f>
        <v>0</v>
      </c>
      <c r="H3" s="35">
        <f t="shared" ref="H3:H34" si="0">((G3-$Q$1)*($Q$3*B3^2))/1273</f>
        <v>0</v>
      </c>
      <c r="I3" s="35">
        <f t="shared" ref="I3:I34" si="1">((G3-$Q$1)*($Q$3*C3^2))/1273</f>
        <v>0</v>
      </c>
      <c r="J3" s="35">
        <f t="shared" ref="J3:J34" si="2">((G3-$Q$1)*($Q$3*D3^2))/1273</f>
        <v>0</v>
      </c>
      <c r="K3" s="43">
        <f t="shared" ref="K3:K34" si="3">((G3-$Q$1)*($Q$3*E3^2))/1273</f>
        <v>0</v>
      </c>
      <c r="L3" s="48">
        <f>I3-K3</f>
        <v>0</v>
      </c>
      <c r="M3" s="45" t="e">
        <f t="shared" ref="M3:M34" si="4">((H3/$K3)*100)-100</f>
        <v>#DIV/0!</v>
      </c>
      <c r="N3" s="35" t="e">
        <f t="shared" ref="N3:N34" si="5">((I3/$K3)*100)-100</f>
        <v>#DIV/0!</v>
      </c>
      <c r="O3" s="36" t="e">
        <f t="shared" ref="O3:O34" si="6">((J3/$K3)*100)-100</f>
        <v>#DIV/0!</v>
      </c>
      <c r="P3" s="16" t="s">
        <v>5</v>
      </c>
      <c r="Q3" s="19">
        <f>Information!C6</f>
        <v>0</v>
      </c>
    </row>
    <row r="4" spans="1:17" x14ac:dyDescent="0.3">
      <c r="A4" s="32">
        <f>Sheet2!L1</f>
        <v>0</v>
      </c>
      <c r="B4" s="29">
        <f>MIN(Sheet2!B2:B5000)</f>
        <v>0</v>
      </c>
      <c r="C4" s="4">
        <f>AVERAGE(Sheet2!B2:B5000)</f>
        <v>0</v>
      </c>
      <c r="D4" s="4">
        <f>MAX(Sheet2!B2:B5000)</f>
        <v>0</v>
      </c>
      <c r="E4" s="4">
        <f>Sheet2!G2</f>
        <v>0</v>
      </c>
      <c r="F4" s="4">
        <f>MIN(Sheet2!A2:A5000)</f>
        <v>0</v>
      </c>
      <c r="G4" s="4">
        <f>MAX(Sheet2!A2:A5000)</f>
        <v>0</v>
      </c>
      <c r="H4" s="1">
        <f t="shared" si="0"/>
        <v>0</v>
      </c>
      <c r="I4" s="1">
        <f t="shared" si="1"/>
        <v>0</v>
      </c>
      <c r="J4" s="1">
        <f t="shared" si="2"/>
        <v>0</v>
      </c>
      <c r="K4" s="44">
        <f t="shared" si="3"/>
        <v>0</v>
      </c>
      <c r="L4" s="49">
        <f t="shared" ref="L4:L52" si="7">I4-K4</f>
        <v>0</v>
      </c>
      <c r="M4" s="46" t="e">
        <f t="shared" si="4"/>
        <v>#DIV/0!</v>
      </c>
      <c r="N4" s="1" t="e">
        <f t="shared" si="5"/>
        <v>#DIV/0!</v>
      </c>
      <c r="O4" s="18" t="e">
        <f t="shared" si="6"/>
        <v>#DIV/0!</v>
      </c>
    </row>
    <row r="5" spans="1:17" x14ac:dyDescent="0.3">
      <c r="A5" s="32">
        <f>Sheet3!L1</f>
        <v>0</v>
      </c>
      <c r="B5" s="29">
        <f>MIN(Sheet3!B2:B5000)</f>
        <v>0</v>
      </c>
      <c r="C5" s="4">
        <f>AVERAGE(Sheet3!B2:B5000)</f>
        <v>0</v>
      </c>
      <c r="D5" s="4">
        <f>MAX(Sheet3!B2:B5000)</f>
        <v>0</v>
      </c>
      <c r="E5" s="4">
        <f>Sheet3!G2</f>
        <v>0</v>
      </c>
      <c r="F5" s="4">
        <f>MIN(Sheet3!A2:A5000)</f>
        <v>0</v>
      </c>
      <c r="G5" s="4">
        <f>MAX(Sheet3!A2:A5000)</f>
        <v>0</v>
      </c>
      <c r="H5" s="1">
        <f t="shared" si="0"/>
        <v>0</v>
      </c>
      <c r="I5" s="1">
        <f t="shared" si="1"/>
        <v>0</v>
      </c>
      <c r="J5" s="1">
        <f t="shared" si="2"/>
        <v>0</v>
      </c>
      <c r="K5" s="44">
        <f t="shared" si="3"/>
        <v>0</v>
      </c>
      <c r="L5" s="49">
        <f t="shared" si="7"/>
        <v>0</v>
      </c>
      <c r="M5" s="46" t="e">
        <f t="shared" si="4"/>
        <v>#DIV/0!</v>
      </c>
      <c r="N5" s="1" t="e">
        <f t="shared" si="5"/>
        <v>#DIV/0!</v>
      </c>
      <c r="O5" s="18" t="e">
        <f t="shared" si="6"/>
        <v>#DIV/0!</v>
      </c>
    </row>
    <row r="6" spans="1:17" x14ac:dyDescent="0.3">
      <c r="A6" s="32">
        <f>Sheet4!L1</f>
        <v>0</v>
      </c>
      <c r="B6" s="29">
        <f>MIN(Sheet4!B2:B5000)</f>
        <v>0</v>
      </c>
      <c r="C6" s="4">
        <f>AVERAGE(Sheet4!B2:B5000)</f>
        <v>0</v>
      </c>
      <c r="D6" s="4">
        <f>MAX(Sheet4!B2:B5000)</f>
        <v>0</v>
      </c>
      <c r="E6" s="4">
        <f>Sheet4!G2</f>
        <v>0</v>
      </c>
      <c r="F6" s="4">
        <f>MIN(Sheet4!A2:A5000)</f>
        <v>0</v>
      </c>
      <c r="G6" s="4">
        <f>MAX(Sheet4!A2:A5000)</f>
        <v>0</v>
      </c>
      <c r="H6" s="1">
        <f t="shared" si="0"/>
        <v>0</v>
      </c>
      <c r="I6" s="1">
        <f t="shared" si="1"/>
        <v>0</v>
      </c>
      <c r="J6" s="1">
        <f t="shared" si="2"/>
        <v>0</v>
      </c>
      <c r="K6" s="44">
        <f t="shared" si="3"/>
        <v>0</v>
      </c>
      <c r="L6" s="49">
        <f t="shared" si="7"/>
        <v>0</v>
      </c>
      <c r="M6" s="46" t="e">
        <f t="shared" si="4"/>
        <v>#DIV/0!</v>
      </c>
      <c r="N6" s="1" t="e">
        <f t="shared" si="5"/>
        <v>#DIV/0!</v>
      </c>
      <c r="O6" s="18" t="e">
        <f t="shared" si="6"/>
        <v>#DIV/0!</v>
      </c>
    </row>
    <row r="7" spans="1:17" x14ac:dyDescent="0.3">
      <c r="A7" s="32">
        <f>Sheet5!L1</f>
        <v>0</v>
      </c>
      <c r="B7" s="29">
        <f>MIN(Sheet5!B2:B5000)</f>
        <v>0</v>
      </c>
      <c r="C7" s="4">
        <f>AVERAGE(Sheet5!B2:B5000)</f>
        <v>0</v>
      </c>
      <c r="D7" s="4">
        <f>MAX(Sheet5!B2:B5000)</f>
        <v>0</v>
      </c>
      <c r="E7" s="4">
        <f>Sheet5!G2</f>
        <v>0</v>
      </c>
      <c r="F7" s="4">
        <f>MIN(Sheet5!A2:A5000)</f>
        <v>0</v>
      </c>
      <c r="G7" s="4">
        <f>MAX(Sheet5!A2:A5000)</f>
        <v>0</v>
      </c>
      <c r="H7" s="1">
        <f t="shared" si="0"/>
        <v>0</v>
      </c>
      <c r="I7" s="1">
        <f t="shared" si="1"/>
        <v>0</v>
      </c>
      <c r="J7" s="1">
        <f t="shared" si="2"/>
        <v>0</v>
      </c>
      <c r="K7" s="44">
        <f t="shared" si="3"/>
        <v>0</v>
      </c>
      <c r="L7" s="49">
        <f t="shared" si="7"/>
        <v>0</v>
      </c>
      <c r="M7" s="46" t="e">
        <f t="shared" si="4"/>
        <v>#DIV/0!</v>
      </c>
      <c r="N7" s="1" t="e">
        <f t="shared" si="5"/>
        <v>#DIV/0!</v>
      </c>
      <c r="O7" s="18" t="e">
        <f t="shared" si="6"/>
        <v>#DIV/0!</v>
      </c>
      <c r="Q7" s="3"/>
    </row>
    <row r="8" spans="1:17" x14ac:dyDescent="0.3">
      <c r="A8" s="32">
        <f>Sheet6!L1</f>
        <v>0</v>
      </c>
      <c r="B8" s="29">
        <f>MIN(Sheet6!B2:B5000)</f>
        <v>0</v>
      </c>
      <c r="C8" s="4">
        <f>AVERAGE(Sheet6!B2:B5000)</f>
        <v>0</v>
      </c>
      <c r="D8" s="4">
        <f>MAX(Sheet6!B2:B5000)</f>
        <v>0</v>
      </c>
      <c r="E8" s="4">
        <f>Sheet6!G2</f>
        <v>0</v>
      </c>
      <c r="F8" s="4">
        <f>MIN(Sheet6!A2:A5000)</f>
        <v>0</v>
      </c>
      <c r="G8" s="4">
        <f>MAX(Sheet6!A2:A5000)</f>
        <v>0</v>
      </c>
      <c r="H8" s="1">
        <f t="shared" si="0"/>
        <v>0</v>
      </c>
      <c r="I8" s="1">
        <f t="shared" si="1"/>
        <v>0</v>
      </c>
      <c r="J8" s="1">
        <f t="shared" si="2"/>
        <v>0</v>
      </c>
      <c r="K8" s="44">
        <f t="shared" si="3"/>
        <v>0</v>
      </c>
      <c r="L8" s="49">
        <f t="shared" si="7"/>
        <v>0</v>
      </c>
      <c r="M8" s="46" t="e">
        <f t="shared" si="4"/>
        <v>#DIV/0!</v>
      </c>
      <c r="N8" s="1" t="e">
        <f t="shared" si="5"/>
        <v>#DIV/0!</v>
      </c>
      <c r="O8" s="18" t="e">
        <f t="shared" si="6"/>
        <v>#DIV/0!</v>
      </c>
      <c r="Q8" s="3"/>
    </row>
    <row r="9" spans="1:17" x14ac:dyDescent="0.3">
      <c r="A9" s="32">
        <f>Sheet7!L1</f>
        <v>0</v>
      </c>
      <c r="B9" s="29">
        <f>MIN(Sheet7!B2:B5000)</f>
        <v>0</v>
      </c>
      <c r="C9" s="4">
        <f>AVERAGE(Sheet7!B2:B5000)</f>
        <v>0</v>
      </c>
      <c r="D9" s="4">
        <f>MAX(Sheet7!B2:B5000)</f>
        <v>0</v>
      </c>
      <c r="E9" s="4">
        <f>Sheet7!G2</f>
        <v>0</v>
      </c>
      <c r="F9" s="4">
        <f>MIN(Sheet7!A2:A5000)</f>
        <v>0</v>
      </c>
      <c r="G9" s="4">
        <f>MAX(Sheet7!A2:A5000)</f>
        <v>0</v>
      </c>
      <c r="H9" s="1">
        <f t="shared" si="0"/>
        <v>0</v>
      </c>
      <c r="I9" s="1">
        <f t="shared" si="1"/>
        <v>0</v>
      </c>
      <c r="J9" s="1">
        <f t="shared" si="2"/>
        <v>0</v>
      </c>
      <c r="K9" s="44">
        <f t="shared" si="3"/>
        <v>0</v>
      </c>
      <c r="L9" s="49">
        <f t="shared" si="7"/>
        <v>0</v>
      </c>
      <c r="M9" s="46" t="e">
        <f t="shared" si="4"/>
        <v>#DIV/0!</v>
      </c>
      <c r="N9" s="1" t="e">
        <f t="shared" si="5"/>
        <v>#DIV/0!</v>
      </c>
      <c r="O9" s="18" t="e">
        <f t="shared" si="6"/>
        <v>#DIV/0!</v>
      </c>
      <c r="Q9" s="3"/>
    </row>
    <row r="10" spans="1:17" x14ac:dyDescent="0.3">
      <c r="A10" s="32">
        <f>Sheet8!L1</f>
        <v>0</v>
      </c>
      <c r="B10" s="29">
        <f>MIN(Sheet8!B2:B5000)</f>
        <v>0</v>
      </c>
      <c r="C10" s="4">
        <f>AVERAGE(Sheet8!B2:B5000)</f>
        <v>0</v>
      </c>
      <c r="D10" s="4">
        <f>MAX(Sheet8!B2:B5000)</f>
        <v>0</v>
      </c>
      <c r="E10" s="4">
        <f>Sheet8!G2</f>
        <v>0</v>
      </c>
      <c r="F10" s="4">
        <f>MIN(Sheet8!A2:A5000)</f>
        <v>0</v>
      </c>
      <c r="G10" s="4">
        <f>MAX(Sheet8!A2:A5000)</f>
        <v>0</v>
      </c>
      <c r="H10" s="1">
        <f t="shared" si="0"/>
        <v>0</v>
      </c>
      <c r="I10" s="1">
        <f t="shared" si="1"/>
        <v>0</v>
      </c>
      <c r="J10" s="1">
        <f t="shared" si="2"/>
        <v>0</v>
      </c>
      <c r="K10" s="44">
        <f t="shared" si="3"/>
        <v>0</v>
      </c>
      <c r="L10" s="49">
        <f t="shared" si="7"/>
        <v>0</v>
      </c>
      <c r="M10" s="46" t="e">
        <f t="shared" si="4"/>
        <v>#DIV/0!</v>
      </c>
      <c r="N10" s="1" t="e">
        <f t="shared" si="5"/>
        <v>#DIV/0!</v>
      </c>
      <c r="O10" s="18" t="e">
        <f t="shared" si="6"/>
        <v>#DIV/0!</v>
      </c>
    </row>
    <row r="11" spans="1:17" x14ac:dyDescent="0.3">
      <c r="A11" s="32">
        <f>Sheet9!L1</f>
        <v>0</v>
      </c>
      <c r="B11" s="29">
        <f>MIN(Sheet9!B2:B5000)</f>
        <v>0</v>
      </c>
      <c r="C11" s="4">
        <f>AVERAGE(Sheet9!B2:B5000)</f>
        <v>0</v>
      </c>
      <c r="D11" s="4">
        <f>MAX(Sheet9!B2:B5000)</f>
        <v>0</v>
      </c>
      <c r="E11" s="4">
        <f>Sheet9!G2</f>
        <v>0</v>
      </c>
      <c r="F11" s="4">
        <f>MIN(Sheet9!A2:A5000)</f>
        <v>0</v>
      </c>
      <c r="G11" s="4">
        <f>MAX(Sheet9!A2:A5000)</f>
        <v>0</v>
      </c>
      <c r="H11" s="1">
        <f t="shared" si="0"/>
        <v>0</v>
      </c>
      <c r="I11" s="1">
        <f t="shared" si="1"/>
        <v>0</v>
      </c>
      <c r="J11" s="1">
        <f t="shared" si="2"/>
        <v>0</v>
      </c>
      <c r="K11" s="44">
        <f t="shared" si="3"/>
        <v>0</v>
      </c>
      <c r="L11" s="49">
        <f t="shared" si="7"/>
        <v>0</v>
      </c>
      <c r="M11" s="46" t="e">
        <f t="shared" si="4"/>
        <v>#DIV/0!</v>
      </c>
      <c r="N11" s="1" t="e">
        <f t="shared" si="5"/>
        <v>#DIV/0!</v>
      </c>
      <c r="O11" s="18" t="e">
        <f t="shared" si="6"/>
        <v>#DIV/0!</v>
      </c>
    </row>
    <row r="12" spans="1:17" x14ac:dyDescent="0.3">
      <c r="A12" s="32">
        <f>Sheet10!L1</f>
        <v>0</v>
      </c>
      <c r="B12" s="29">
        <f>MIN(Sheet10!B2:B5000)</f>
        <v>0</v>
      </c>
      <c r="C12" s="4">
        <f>AVERAGE(Sheet10!B2:B5000)</f>
        <v>0</v>
      </c>
      <c r="D12" s="4">
        <f>MAX(Sheet10!B2:B5000)</f>
        <v>0</v>
      </c>
      <c r="E12" s="4">
        <f>Sheet10!G2</f>
        <v>0</v>
      </c>
      <c r="F12" s="4">
        <f>MIN(Sheet10!A2:A5000)</f>
        <v>0</v>
      </c>
      <c r="G12" s="4">
        <f>MAX(Sheet10!A2:A5000)</f>
        <v>0</v>
      </c>
      <c r="H12" s="1">
        <f t="shared" si="0"/>
        <v>0</v>
      </c>
      <c r="I12" s="1">
        <f t="shared" si="1"/>
        <v>0</v>
      </c>
      <c r="J12" s="1">
        <f t="shared" si="2"/>
        <v>0</v>
      </c>
      <c r="K12" s="44">
        <f t="shared" si="3"/>
        <v>0</v>
      </c>
      <c r="L12" s="49">
        <f t="shared" si="7"/>
        <v>0</v>
      </c>
      <c r="M12" s="46" t="e">
        <f t="shared" si="4"/>
        <v>#DIV/0!</v>
      </c>
      <c r="N12" s="1" t="e">
        <f t="shared" si="5"/>
        <v>#DIV/0!</v>
      </c>
      <c r="O12" s="18" t="e">
        <f t="shared" si="6"/>
        <v>#DIV/0!</v>
      </c>
    </row>
    <row r="13" spans="1:17" x14ac:dyDescent="0.3">
      <c r="A13" s="32">
        <f>Sheet11!L1</f>
        <v>0</v>
      </c>
      <c r="B13" s="29">
        <f>MIN(Sheet11!B2:B5000)</f>
        <v>0</v>
      </c>
      <c r="C13" s="4">
        <f>AVERAGE(Sheet11!B2:B5000)</f>
        <v>0</v>
      </c>
      <c r="D13" s="4">
        <f>MAX(Sheet11!B2:B5000)</f>
        <v>0</v>
      </c>
      <c r="E13" s="4">
        <f>Sheet11!G2</f>
        <v>0</v>
      </c>
      <c r="F13" s="4">
        <f>MIN(Sheet11!A2:A5000)</f>
        <v>0</v>
      </c>
      <c r="G13" s="4">
        <f>MAX(Sheet11!A2:A5000)</f>
        <v>0</v>
      </c>
      <c r="H13" s="1">
        <f t="shared" si="0"/>
        <v>0</v>
      </c>
      <c r="I13" s="1">
        <f t="shared" si="1"/>
        <v>0</v>
      </c>
      <c r="J13" s="1">
        <f t="shared" si="2"/>
        <v>0</v>
      </c>
      <c r="K13" s="44">
        <f t="shared" si="3"/>
        <v>0</v>
      </c>
      <c r="L13" s="49">
        <f t="shared" si="7"/>
        <v>0</v>
      </c>
      <c r="M13" s="46" t="e">
        <f t="shared" si="4"/>
        <v>#DIV/0!</v>
      </c>
      <c r="N13" s="1" t="e">
        <f t="shared" si="5"/>
        <v>#DIV/0!</v>
      </c>
      <c r="O13" s="18" t="e">
        <f t="shared" si="6"/>
        <v>#DIV/0!</v>
      </c>
    </row>
    <row r="14" spans="1:17" x14ac:dyDescent="0.3">
      <c r="A14" s="32">
        <f>Sheet12!L1</f>
        <v>0</v>
      </c>
      <c r="B14" s="29">
        <f>MIN(Sheet12!B2:B5000)</f>
        <v>0</v>
      </c>
      <c r="C14" s="4">
        <f>AVERAGE(Sheet12!B2:B5000)</f>
        <v>0</v>
      </c>
      <c r="D14" s="4">
        <f>MAX(Sheet12!B2:B5000)</f>
        <v>0</v>
      </c>
      <c r="E14" s="4">
        <f>Sheet12!G2</f>
        <v>0</v>
      </c>
      <c r="F14" s="4">
        <f>MIN(Sheet12!A2:A5000)</f>
        <v>0</v>
      </c>
      <c r="G14" s="4">
        <f>MAX(Sheet12!A2:A5000)</f>
        <v>0</v>
      </c>
      <c r="H14" s="1">
        <f t="shared" si="0"/>
        <v>0</v>
      </c>
      <c r="I14" s="1">
        <f t="shared" si="1"/>
        <v>0</v>
      </c>
      <c r="J14" s="1">
        <f t="shared" si="2"/>
        <v>0</v>
      </c>
      <c r="K14" s="44">
        <f t="shared" si="3"/>
        <v>0</v>
      </c>
      <c r="L14" s="49">
        <f t="shared" si="7"/>
        <v>0</v>
      </c>
      <c r="M14" s="46" t="e">
        <f t="shared" si="4"/>
        <v>#DIV/0!</v>
      </c>
      <c r="N14" s="1" t="e">
        <f t="shared" si="5"/>
        <v>#DIV/0!</v>
      </c>
      <c r="O14" s="18" t="e">
        <f t="shared" si="6"/>
        <v>#DIV/0!</v>
      </c>
    </row>
    <row r="15" spans="1:17" x14ac:dyDescent="0.3">
      <c r="A15" s="32">
        <f>Sheet13!L1</f>
        <v>0</v>
      </c>
      <c r="B15" s="29">
        <f>MIN(Sheet13!B2:B5000)</f>
        <v>0</v>
      </c>
      <c r="C15" s="4">
        <f>AVERAGE(Sheet13!B2:B5000)</f>
        <v>0</v>
      </c>
      <c r="D15" s="4">
        <f>MAX(Sheet13!B2:B5000)</f>
        <v>0</v>
      </c>
      <c r="E15" s="4">
        <f>Sheet13!G2</f>
        <v>0</v>
      </c>
      <c r="F15" s="4">
        <f>MIN(Sheet13!A2:A5000)</f>
        <v>0</v>
      </c>
      <c r="G15" s="4">
        <f>MAX(Sheet13!A2:A5000)</f>
        <v>0</v>
      </c>
      <c r="H15" s="1">
        <f t="shared" si="0"/>
        <v>0</v>
      </c>
      <c r="I15" s="1">
        <f t="shared" si="1"/>
        <v>0</v>
      </c>
      <c r="J15" s="1">
        <f t="shared" si="2"/>
        <v>0</v>
      </c>
      <c r="K15" s="44">
        <f t="shared" si="3"/>
        <v>0</v>
      </c>
      <c r="L15" s="49">
        <f t="shared" si="7"/>
        <v>0</v>
      </c>
      <c r="M15" s="46" t="e">
        <f t="shared" si="4"/>
        <v>#DIV/0!</v>
      </c>
      <c r="N15" s="1" t="e">
        <f t="shared" si="5"/>
        <v>#DIV/0!</v>
      </c>
      <c r="O15" s="18" t="e">
        <f t="shared" si="6"/>
        <v>#DIV/0!</v>
      </c>
    </row>
    <row r="16" spans="1:17" x14ac:dyDescent="0.3">
      <c r="A16" s="32">
        <f>Sheet14!L1</f>
        <v>0</v>
      </c>
      <c r="B16" s="29">
        <f>MIN(Sheet14!B2:B5000)</f>
        <v>0</v>
      </c>
      <c r="C16" s="4">
        <f>AVERAGE(Sheet14!B2:B5000)</f>
        <v>0</v>
      </c>
      <c r="D16" s="4">
        <f>MAX(Sheet14!B2:B5000)</f>
        <v>0</v>
      </c>
      <c r="E16" s="4">
        <f>Sheet14!G2</f>
        <v>0</v>
      </c>
      <c r="F16" s="4">
        <f>MIN(Sheet14!A2:A5000)</f>
        <v>0</v>
      </c>
      <c r="G16" s="4">
        <f>MAX(Sheet14!A2:A5000)</f>
        <v>0</v>
      </c>
      <c r="H16" s="1">
        <f t="shared" si="0"/>
        <v>0</v>
      </c>
      <c r="I16" s="1">
        <f t="shared" si="1"/>
        <v>0</v>
      </c>
      <c r="J16" s="1">
        <f t="shared" si="2"/>
        <v>0</v>
      </c>
      <c r="K16" s="44">
        <f t="shared" si="3"/>
        <v>0</v>
      </c>
      <c r="L16" s="49">
        <f t="shared" si="7"/>
        <v>0</v>
      </c>
      <c r="M16" s="46" t="e">
        <f t="shared" si="4"/>
        <v>#DIV/0!</v>
      </c>
      <c r="N16" s="1" t="e">
        <f t="shared" si="5"/>
        <v>#DIV/0!</v>
      </c>
      <c r="O16" s="18" t="e">
        <f t="shared" si="6"/>
        <v>#DIV/0!</v>
      </c>
    </row>
    <row r="17" spans="1:15" x14ac:dyDescent="0.3">
      <c r="A17" s="32">
        <f>Sheet15!L1</f>
        <v>0</v>
      </c>
      <c r="B17" s="29">
        <f>MIN(Sheet15!B2:B5000)</f>
        <v>0</v>
      </c>
      <c r="C17" s="4">
        <f>AVERAGE(Sheet15!B2:B5000)</f>
        <v>0</v>
      </c>
      <c r="D17" s="4">
        <f>MAX(Sheet15!B2:B5000)</f>
        <v>0</v>
      </c>
      <c r="E17" s="4">
        <f>Sheet15!G2</f>
        <v>0</v>
      </c>
      <c r="F17" s="4">
        <f>MIN(Sheet15!A2:A5000)</f>
        <v>0</v>
      </c>
      <c r="G17" s="4">
        <f>MAX(Sheet15!A2:A5000)</f>
        <v>0</v>
      </c>
      <c r="H17" s="1">
        <f t="shared" si="0"/>
        <v>0</v>
      </c>
      <c r="I17" s="1">
        <f t="shared" si="1"/>
        <v>0</v>
      </c>
      <c r="J17" s="1">
        <f t="shared" si="2"/>
        <v>0</v>
      </c>
      <c r="K17" s="44">
        <f t="shared" si="3"/>
        <v>0</v>
      </c>
      <c r="L17" s="49">
        <f t="shared" si="7"/>
        <v>0</v>
      </c>
      <c r="M17" s="46" t="e">
        <f t="shared" si="4"/>
        <v>#DIV/0!</v>
      </c>
      <c r="N17" s="1" t="e">
        <f t="shared" si="5"/>
        <v>#DIV/0!</v>
      </c>
      <c r="O17" s="18" t="e">
        <f t="shared" si="6"/>
        <v>#DIV/0!</v>
      </c>
    </row>
    <row r="18" spans="1:15" x14ac:dyDescent="0.3">
      <c r="A18" s="32">
        <f>Sheet16!L1</f>
        <v>0</v>
      </c>
      <c r="B18" s="29">
        <f>MIN(Sheet16!B2:B5000)</f>
        <v>0</v>
      </c>
      <c r="C18" s="4">
        <f>AVERAGE(Sheet16!B2:B5000)</f>
        <v>0</v>
      </c>
      <c r="D18" s="4">
        <f>MAX(Sheet16!B2:B5000)</f>
        <v>0</v>
      </c>
      <c r="E18" s="4">
        <f>Sheet16!G2</f>
        <v>0</v>
      </c>
      <c r="F18" s="4">
        <f>MIN(Sheet16!A2:A5000)</f>
        <v>0</v>
      </c>
      <c r="G18" s="4">
        <f>MAX(Sheet16!A2:A5000)</f>
        <v>0</v>
      </c>
      <c r="H18" s="1">
        <f t="shared" si="0"/>
        <v>0</v>
      </c>
      <c r="I18" s="1">
        <f t="shared" si="1"/>
        <v>0</v>
      </c>
      <c r="J18" s="1">
        <f t="shared" si="2"/>
        <v>0</v>
      </c>
      <c r="K18" s="44">
        <f t="shared" si="3"/>
        <v>0</v>
      </c>
      <c r="L18" s="49">
        <f t="shared" si="7"/>
        <v>0</v>
      </c>
      <c r="M18" s="46" t="e">
        <f t="shared" si="4"/>
        <v>#DIV/0!</v>
      </c>
      <c r="N18" s="1" t="e">
        <f t="shared" si="5"/>
        <v>#DIV/0!</v>
      </c>
      <c r="O18" s="18" t="e">
        <f t="shared" si="6"/>
        <v>#DIV/0!</v>
      </c>
    </row>
    <row r="19" spans="1:15" x14ac:dyDescent="0.3">
      <c r="A19" s="32">
        <f>Sheet17!L1</f>
        <v>0</v>
      </c>
      <c r="B19" s="29">
        <f>MIN(Sheet17!B2:B5000)</f>
        <v>0</v>
      </c>
      <c r="C19" s="4">
        <f>AVERAGE(Sheet17!B2:B5000)</f>
        <v>0</v>
      </c>
      <c r="D19" s="4">
        <f>MAX(Sheet17!B2:B5000)</f>
        <v>0</v>
      </c>
      <c r="E19" s="4">
        <f>Sheet17!G2</f>
        <v>0</v>
      </c>
      <c r="F19" s="4">
        <f>MIN(Sheet17!A2:A5000)</f>
        <v>0</v>
      </c>
      <c r="G19" s="4">
        <f>MAX(Sheet17!A2:A5000)</f>
        <v>0</v>
      </c>
      <c r="H19" s="1">
        <f t="shared" si="0"/>
        <v>0</v>
      </c>
      <c r="I19" s="1">
        <f t="shared" si="1"/>
        <v>0</v>
      </c>
      <c r="J19" s="1">
        <f t="shared" si="2"/>
        <v>0</v>
      </c>
      <c r="K19" s="44">
        <f t="shared" si="3"/>
        <v>0</v>
      </c>
      <c r="L19" s="49">
        <f t="shared" si="7"/>
        <v>0</v>
      </c>
      <c r="M19" s="46" t="e">
        <f t="shared" si="4"/>
        <v>#DIV/0!</v>
      </c>
      <c r="N19" s="1" t="e">
        <f t="shared" si="5"/>
        <v>#DIV/0!</v>
      </c>
      <c r="O19" s="18" t="e">
        <f t="shared" si="6"/>
        <v>#DIV/0!</v>
      </c>
    </row>
    <row r="20" spans="1:15" x14ac:dyDescent="0.3">
      <c r="A20" s="32">
        <f>Sheet18!L1</f>
        <v>0</v>
      </c>
      <c r="B20" s="29">
        <f>MIN(Sheet18!B2:B5000)</f>
        <v>0</v>
      </c>
      <c r="C20" s="4">
        <f>AVERAGE(Sheet18!B2:B5000)</f>
        <v>0</v>
      </c>
      <c r="D20" s="4">
        <f>MAX(Sheet18!B2:B5000)</f>
        <v>0</v>
      </c>
      <c r="E20" s="4">
        <f>Sheet18!G2</f>
        <v>0</v>
      </c>
      <c r="F20" s="4">
        <f>MIN(Sheet18!A2:A5000)</f>
        <v>0</v>
      </c>
      <c r="G20" s="4">
        <f>MAX(Sheet18!A2:A5000)</f>
        <v>0</v>
      </c>
      <c r="H20" s="1">
        <f t="shared" si="0"/>
        <v>0</v>
      </c>
      <c r="I20" s="1">
        <f t="shared" si="1"/>
        <v>0</v>
      </c>
      <c r="J20" s="1">
        <f t="shared" si="2"/>
        <v>0</v>
      </c>
      <c r="K20" s="44">
        <f t="shared" si="3"/>
        <v>0</v>
      </c>
      <c r="L20" s="49">
        <f t="shared" si="7"/>
        <v>0</v>
      </c>
      <c r="M20" s="46" t="e">
        <f t="shared" si="4"/>
        <v>#DIV/0!</v>
      </c>
      <c r="N20" s="1" t="e">
        <f t="shared" si="5"/>
        <v>#DIV/0!</v>
      </c>
      <c r="O20" s="18" t="e">
        <f t="shared" si="6"/>
        <v>#DIV/0!</v>
      </c>
    </row>
    <row r="21" spans="1:15" x14ac:dyDescent="0.3">
      <c r="A21" s="32">
        <f>Sheet19!L1</f>
        <v>0</v>
      </c>
      <c r="B21" s="29">
        <f>MIN(Sheet19!B2:B5000)</f>
        <v>0</v>
      </c>
      <c r="C21" s="4">
        <f>AVERAGE(Sheet19!B2:B5000)</f>
        <v>0</v>
      </c>
      <c r="D21" s="4">
        <f>MAX(Sheet19!B2:B5000)</f>
        <v>0</v>
      </c>
      <c r="E21" s="4">
        <f>Sheet19!G2</f>
        <v>0</v>
      </c>
      <c r="F21" s="4">
        <f>MIN(Sheet19!A2:A5000)</f>
        <v>0</v>
      </c>
      <c r="G21" s="4">
        <f>MAX(Sheet19!A2:A5000)</f>
        <v>0</v>
      </c>
      <c r="H21" s="1">
        <f t="shared" si="0"/>
        <v>0</v>
      </c>
      <c r="I21" s="1">
        <f t="shared" si="1"/>
        <v>0</v>
      </c>
      <c r="J21" s="1">
        <f t="shared" si="2"/>
        <v>0</v>
      </c>
      <c r="K21" s="44">
        <f t="shared" si="3"/>
        <v>0</v>
      </c>
      <c r="L21" s="49">
        <f t="shared" si="7"/>
        <v>0</v>
      </c>
      <c r="M21" s="46" t="e">
        <f t="shared" si="4"/>
        <v>#DIV/0!</v>
      </c>
      <c r="N21" s="1" t="e">
        <f t="shared" si="5"/>
        <v>#DIV/0!</v>
      </c>
      <c r="O21" s="18" t="e">
        <f t="shared" si="6"/>
        <v>#DIV/0!</v>
      </c>
    </row>
    <row r="22" spans="1:15" x14ac:dyDescent="0.3">
      <c r="A22" s="32">
        <f>Sheet20!L1</f>
        <v>0</v>
      </c>
      <c r="B22" s="29">
        <f>MIN(Sheet20!B2:B5000)</f>
        <v>0</v>
      </c>
      <c r="C22" s="4">
        <f>AVERAGE(Sheet20!B2:B5000)</f>
        <v>0</v>
      </c>
      <c r="D22" s="4">
        <f>MAX(Sheet20!B2:B5000)</f>
        <v>0</v>
      </c>
      <c r="E22" s="4">
        <f>Sheet20!G2</f>
        <v>0</v>
      </c>
      <c r="F22" s="4">
        <f>MIN(Sheet20!A2:A5000)</f>
        <v>0</v>
      </c>
      <c r="G22" s="4">
        <f>MAX(Sheet20!A2:A5000)</f>
        <v>0</v>
      </c>
      <c r="H22" s="1">
        <f t="shared" si="0"/>
        <v>0</v>
      </c>
      <c r="I22" s="1">
        <f t="shared" si="1"/>
        <v>0</v>
      </c>
      <c r="J22" s="1">
        <f t="shared" si="2"/>
        <v>0</v>
      </c>
      <c r="K22" s="44">
        <f t="shared" si="3"/>
        <v>0</v>
      </c>
      <c r="L22" s="49">
        <f t="shared" si="7"/>
        <v>0</v>
      </c>
      <c r="M22" s="46" t="e">
        <f t="shared" si="4"/>
        <v>#DIV/0!</v>
      </c>
      <c r="N22" s="1" t="e">
        <f t="shared" si="5"/>
        <v>#DIV/0!</v>
      </c>
      <c r="O22" s="18" t="e">
        <f t="shared" si="6"/>
        <v>#DIV/0!</v>
      </c>
    </row>
    <row r="23" spans="1:15" x14ac:dyDescent="0.3">
      <c r="A23" s="32">
        <f>Sheet21!L1</f>
        <v>0</v>
      </c>
      <c r="B23" s="29">
        <f>MIN(Sheet21!B2:B5000)</f>
        <v>0</v>
      </c>
      <c r="C23" s="4">
        <f>AVERAGE(Sheet21!B2:B5000)</f>
        <v>0</v>
      </c>
      <c r="D23" s="4">
        <f>MAX(Sheet21!B2:B5000)</f>
        <v>0</v>
      </c>
      <c r="E23" s="4">
        <f>Sheet21!G2</f>
        <v>0</v>
      </c>
      <c r="F23" s="4">
        <f>MIN(Sheet21!A2:A5000)</f>
        <v>0</v>
      </c>
      <c r="G23" s="4">
        <f>MAX(Sheet21!A2:A5000)</f>
        <v>0</v>
      </c>
      <c r="H23" s="1">
        <f t="shared" si="0"/>
        <v>0</v>
      </c>
      <c r="I23" s="1">
        <f t="shared" si="1"/>
        <v>0</v>
      </c>
      <c r="J23" s="1">
        <f t="shared" si="2"/>
        <v>0</v>
      </c>
      <c r="K23" s="44">
        <f t="shared" si="3"/>
        <v>0</v>
      </c>
      <c r="L23" s="49">
        <f t="shared" si="7"/>
        <v>0</v>
      </c>
      <c r="M23" s="46" t="e">
        <f t="shared" si="4"/>
        <v>#DIV/0!</v>
      </c>
      <c r="N23" s="1" t="e">
        <f t="shared" si="5"/>
        <v>#DIV/0!</v>
      </c>
      <c r="O23" s="18" t="e">
        <f t="shared" si="6"/>
        <v>#DIV/0!</v>
      </c>
    </row>
    <row r="24" spans="1:15" x14ac:dyDescent="0.3">
      <c r="A24" s="32">
        <f>Sheet22!L1</f>
        <v>0</v>
      </c>
      <c r="B24" s="29">
        <f>MIN(Sheet22!B2:B5000)</f>
        <v>0</v>
      </c>
      <c r="C24" s="4">
        <f>AVERAGE(Sheet22!B2:B5000)</f>
        <v>0</v>
      </c>
      <c r="D24" s="4">
        <f>MAX(Sheet22!B2:B5000)</f>
        <v>0</v>
      </c>
      <c r="E24" s="4">
        <f>Sheet22!G2</f>
        <v>0</v>
      </c>
      <c r="F24" s="4">
        <f>MIN(Sheet22!A2:A5000)</f>
        <v>0</v>
      </c>
      <c r="G24" s="4">
        <f>MAX(Sheet22!A2:A5000)</f>
        <v>0</v>
      </c>
      <c r="H24" s="1">
        <f t="shared" si="0"/>
        <v>0</v>
      </c>
      <c r="I24" s="1">
        <f t="shared" si="1"/>
        <v>0</v>
      </c>
      <c r="J24" s="1">
        <f t="shared" si="2"/>
        <v>0</v>
      </c>
      <c r="K24" s="44">
        <f t="shared" si="3"/>
        <v>0</v>
      </c>
      <c r="L24" s="49">
        <f t="shared" si="7"/>
        <v>0</v>
      </c>
      <c r="M24" s="46" t="e">
        <f t="shared" si="4"/>
        <v>#DIV/0!</v>
      </c>
      <c r="N24" s="1" t="e">
        <f t="shared" si="5"/>
        <v>#DIV/0!</v>
      </c>
      <c r="O24" s="18" t="e">
        <f t="shared" si="6"/>
        <v>#DIV/0!</v>
      </c>
    </row>
    <row r="25" spans="1:15" x14ac:dyDescent="0.3">
      <c r="A25" s="32">
        <f>Sheet23!L1</f>
        <v>0</v>
      </c>
      <c r="B25" s="29">
        <f>MIN(Sheet23!B2:B5000)</f>
        <v>0</v>
      </c>
      <c r="C25" s="4">
        <f>AVERAGE(Sheet23!B2:B5000)</f>
        <v>0</v>
      </c>
      <c r="D25" s="4">
        <f>MAX(Sheet23!B2:B5000)</f>
        <v>0</v>
      </c>
      <c r="E25" s="4">
        <f>Sheet23!G2</f>
        <v>0</v>
      </c>
      <c r="F25" s="4">
        <f>MIN(Sheet23!A2:A5000)</f>
        <v>0</v>
      </c>
      <c r="G25" s="4">
        <f>MAX(Sheet23!A2:A5000)</f>
        <v>0</v>
      </c>
      <c r="H25" s="1">
        <f t="shared" si="0"/>
        <v>0</v>
      </c>
      <c r="I25" s="1">
        <f t="shared" si="1"/>
        <v>0</v>
      </c>
      <c r="J25" s="1">
        <f t="shared" si="2"/>
        <v>0</v>
      </c>
      <c r="K25" s="44">
        <f t="shared" si="3"/>
        <v>0</v>
      </c>
      <c r="L25" s="49">
        <f t="shared" si="7"/>
        <v>0</v>
      </c>
      <c r="M25" s="46" t="e">
        <f t="shared" si="4"/>
        <v>#DIV/0!</v>
      </c>
      <c r="N25" s="1" t="e">
        <f t="shared" si="5"/>
        <v>#DIV/0!</v>
      </c>
      <c r="O25" s="18" t="e">
        <f t="shared" si="6"/>
        <v>#DIV/0!</v>
      </c>
    </row>
    <row r="26" spans="1:15" x14ac:dyDescent="0.3">
      <c r="A26" s="32">
        <f>Sheet24!L1</f>
        <v>0</v>
      </c>
      <c r="B26" s="29">
        <f>MIN(Sheet24!B2:B5000)</f>
        <v>0</v>
      </c>
      <c r="C26" s="4">
        <f>AVERAGE(Sheet24!B2:B5000)</f>
        <v>0</v>
      </c>
      <c r="D26" s="4">
        <f>MAX(Sheet24!B2:B5000)</f>
        <v>0</v>
      </c>
      <c r="E26" s="4">
        <f>Sheet24!G2</f>
        <v>0</v>
      </c>
      <c r="F26" s="4">
        <f>MIN(Sheet24!A2:A5000)</f>
        <v>0</v>
      </c>
      <c r="G26" s="4">
        <f>MAX(Sheet24!A2:A5000)</f>
        <v>0</v>
      </c>
      <c r="H26" s="1">
        <f t="shared" si="0"/>
        <v>0</v>
      </c>
      <c r="I26" s="1">
        <f t="shared" si="1"/>
        <v>0</v>
      </c>
      <c r="J26" s="1">
        <f t="shared" si="2"/>
        <v>0</v>
      </c>
      <c r="K26" s="44">
        <f t="shared" si="3"/>
        <v>0</v>
      </c>
      <c r="L26" s="49">
        <f t="shared" si="7"/>
        <v>0</v>
      </c>
      <c r="M26" s="46" t="e">
        <f t="shared" si="4"/>
        <v>#DIV/0!</v>
      </c>
      <c r="N26" s="1" t="e">
        <f t="shared" si="5"/>
        <v>#DIV/0!</v>
      </c>
      <c r="O26" s="18" t="e">
        <f t="shared" si="6"/>
        <v>#DIV/0!</v>
      </c>
    </row>
    <row r="27" spans="1:15" x14ac:dyDescent="0.3">
      <c r="A27" s="32">
        <f>Sheet25!L1</f>
        <v>0</v>
      </c>
      <c r="B27" s="29">
        <f>MIN(Sheet25!B2:B5000)</f>
        <v>0</v>
      </c>
      <c r="C27" s="4">
        <f>AVERAGE(Sheet25!B2:B5000)</f>
        <v>0</v>
      </c>
      <c r="D27" s="4">
        <f>MAX(Sheet25!B2:B5000)</f>
        <v>0</v>
      </c>
      <c r="E27" s="4">
        <f>Sheet25!G2</f>
        <v>0</v>
      </c>
      <c r="F27" s="4">
        <f>MIN(Sheet25!A2:A5000)</f>
        <v>0</v>
      </c>
      <c r="G27" s="4">
        <f>MAX(Sheet25!A2:A5000)</f>
        <v>0</v>
      </c>
      <c r="H27" s="1">
        <f t="shared" si="0"/>
        <v>0</v>
      </c>
      <c r="I27" s="1">
        <f t="shared" si="1"/>
        <v>0</v>
      </c>
      <c r="J27" s="1">
        <f t="shared" si="2"/>
        <v>0</v>
      </c>
      <c r="K27" s="44">
        <f t="shared" si="3"/>
        <v>0</v>
      </c>
      <c r="L27" s="49">
        <f t="shared" si="7"/>
        <v>0</v>
      </c>
      <c r="M27" s="46" t="e">
        <f t="shared" si="4"/>
        <v>#DIV/0!</v>
      </c>
      <c r="N27" s="1" t="e">
        <f t="shared" si="5"/>
        <v>#DIV/0!</v>
      </c>
      <c r="O27" s="18" t="e">
        <f t="shared" si="6"/>
        <v>#DIV/0!</v>
      </c>
    </row>
    <row r="28" spans="1:15" x14ac:dyDescent="0.3">
      <c r="A28" s="32">
        <f>Sheet26!L1</f>
        <v>0</v>
      </c>
      <c r="B28" s="29">
        <f>MIN(Sheet26!B2:B5000)</f>
        <v>0</v>
      </c>
      <c r="C28" s="4">
        <f>AVERAGE(Sheet26!B2:B5000)</f>
        <v>0</v>
      </c>
      <c r="D28" s="4">
        <f>MAX(Sheet26!B2:B5000)</f>
        <v>0</v>
      </c>
      <c r="E28" s="4">
        <f>Sheet26!G2</f>
        <v>0</v>
      </c>
      <c r="F28" s="4">
        <f>MIN(Sheet26!A2:A5000)</f>
        <v>0</v>
      </c>
      <c r="G28" s="4">
        <f>MAX(Sheet26!A2:A5000)</f>
        <v>0</v>
      </c>
      <c r="H28" s="1">
        <f t="shared" si="0"/>
        <v>0</v>
      </c>
      <c r="I28" s="1">
        <f t="shared" si="1"/>
        <v>0</v>
      </c>
      <c r="J28" s="1">
        <f t="shared" si="2"/>
        <v>0</v>
      </c>
      <c r="K28" s="44">
        <f t="shared" si="3"/>
        <v>0</v>
      </c>
      <c r="L28" s="49">
        <f t="shared" si="7"/>
        <v>0</v>
      </c>
      <c r="M28" s="46" t="e">
        <f t="shared" si="4"/>
        <v>#DIV/0!</v>
      </c>
      <c r="N28" s="1" t="e">
        <f t="shared" si="5"/>
        <v>#DIV/0!</v>
      </c>
      <c r="O28" s="18" t="e">
        <f t="shared" si="6"/>
        <v>#DIV/0!</v>
      </c>
    </row>
    <row r="29" spans="1:15" x14ac:dyDescent="0.3">
      <c r="A29" s="32">
        <f>Sheet27!L1</f>
        <v>0</v>
      </c>
      <c r="B29" s="29">
        <f>MIN(Sheet27!B2:B5000)</f>
        <v>0</v>
      </c>
      <c r="C29" s="4">
        <f>AVERAGE(Sheet27!B2:B5000)</f>
        <v>0</v>
      </c>
      <c r="D29" s="4">
        <f>MAX(Sheet27!B2:B5000)</f>
        <v>0</v>
      </c>
      <c r="E29" s="4">
        <f>Sheet27!G2</f>
        <v>0</v>
      </c>
      <c r="F29" s="4">
        <f>MIN(Sheet27!A2:A5000)</f>
        <v>0</v>
      </c>
      <c r="G29" s="4">
        <f>MAX(Sheet27!A2:A5000)</f>
        <v>0</v>
      </c>
      <c r="H29" s="1">
        <f t="shared" si="0"/>
        <v>0</v>
      </c>
      <c r="I29" s="1">
        <f t="shared" si="1"/>
        <v>0</v>
      </c>
      <c r="J29" s="1">
        <f t="shared" si="2"/>
        <v>0</v>
      </c>
      <c r="K29" s="44">
        <f t="shared" si="3"/>
        <v>0</v>
      </c>
      <c r="L29" s="49">
        <f t="shared" si="7"/>
        <v>0</v>
      </c>
      <c r="M29" s="46" t="e">
        <f t="shared" si="4"/>
        <v>#DIV/0!</v>
      </c>
      <c r="N29" s="1" t="e">
        <f t="shared" si="5"/>
        <v>#DIV/0!</v>
      </c>
      <c r="O29" s="18" t="e">
        <f t="shared" si="6"/>
        <v>#DIV/0!</v>
      </c>
    </row>
    <row r="30" spans="1:15" x14ac:dyDescent="0.3">
      <c r="A30" s="32">
        <f>Sheet28!L1</f>
        <v>0</v>
      </c>
      <c r="B30" s="29">
        <f>MIN(Sheet28!B2:B5000)</f>
        <v>0</v>
      </c>
      <c r="C30" s="4">
        <f>AVERAGE(Sheet28!B2:B5000)</f>
        <v>0</v>
      </c>
      <c r="D30" s="4">
        <f>MAX(Sheet28!B2:B5000)</f>
        <v>0</v>
      </c>
      <c r="E30" s="4">
        <f>Sheet28!G2</f>
        <v>0</v>
      </c>
      <c r="F30" s="4">
        <f>MIN(Sheet28!A2:A5000)</f>
        <v>0</v>
      </c>
      <c r="G30" s="4">
        <f>MAX(Sheet28!A2:A5000)</f>
        <v>0</v>
      </c>
      <c r="H30" s="1">
        <f t="shared" si="0"/>
        <v>0</v>
      </c>
      <c r="I30" s="1">
        <f t="shared" si="1"/>
        <v>0</v>
      </c>
      <c r="J30" s="1">
        <f t="shared" si="2"/>
        <v>0</v>
      </c>
      <c r="K30" s="44">
        <f t="shared" si="3"/>
        <v>0</v>
      </c>
      <c r="L30" s="49">
        <f t="shared" si="7"/>
        <v>0</v>
      </c>
      <c r="M30" s="46" t="e">
        <f t="shared" si="4"/>
        <v>#DIV/0!</v>
      </c>
      <c r="N30" s="1" t="e">
        <f t="shared" si="5"/>
        <v>#DIV/0!</v>
      </c>
      <c r="O30" s="18" t="e">
        <f t="shared" si="6"/>
        <v>#DIV/0!</v>
      </c>
    </row>
    <row r="31" spans="1:15" x14ac:dyDescent="0.3">
      <c r="A31" s="32">
        <f>Sheet29!L1</f>
        <v>0</v>
      </c>
      <c r="B31" s="29">
        <f>MIN(Sheet29!B2:B5000)</f>
        <v>0</v>
      </c>
      <c r="C31" s="4">
        <f>AVERAGE(Sheet29!B2:B5000)</f>
        <v>0</v>
      </c>
      <c r="D31" s="4">
        <f>MAX(Sheet29!B2:B5000)</f>
        <v>0</v>
      </c>
      <c r="E31" s="4">
        <f>Sheet29!G2</f>
        <v>0</v>
      </c>
      <c r="F31" s="4">
        <f>MIN(Sheet29!A2:A5000)</f>
        <v>0</v>
      </c>
      <c r="G31" s="4">
        <f>MAX(Sheet29!A2:A5000)</f>
        <v>0</v>
      </c>
      <c r="H31" s="1">
        <f t="shared" si="0"/>
        <v>0</v>
      </c>
      <c r="I31" s="1">
        <f t="shared" si="1"/>
        <v>0</v>
      </c>
      <c r="J31" s="1">
        <f t="shared" si="2"/>
        <v>0</v>
      </c>
      <c r="K31" s="44">
        <f t="shared" si="3"/>
        <v>0</v>
      </c>
      <c r="L31" s="49">
        <f t="shared" si="7"/>
        <v>0</v>
      </c>
      <c r="M31" s="46" t="e">
        <f t="shared" si="4"/>
        <v>#DIV/0!</v>
      </c>
      <c r="N31" s="1" t="e">
        <f t="shared" si="5"/>
        <v>#DIV/0!</v>
      </c>
      <c r="O31" s="18" t="e">
        <f t="shared" si="6"/>
        <v>#DIV/0!</v>
      </c>
    </row>
    <row r="32" spans="1:15" x14ac:dyDescent="0.3">
      <c r="A32" s="32">
        <f>Sheet30!L1</f>
        <v>0</v>
      </c>
      <c r="B32" s="29">
        <f>MIN(Sheet30!B2:B5000)</f>
        <v>0</v>
      </c>
      <c r="C32" s="4">
        <f>AVERAGE(Sheet30!B2:B5000)</f>
        <v>0</v>
      </c>
      <c r="D32" s="4">
        <f>MAX(Sheet30!B2:B5000)</f>
        <v>0</v>
      </c>
      <c r="E32" s="4">
        <f>Sheet30!G2</f>
        <v>0</v>
      </c>
      <c r="F32" s="4">
        <f>MIN(Sheet30!A2:A5000)</f>
        <v>0</v>
      </c>
      <c r="G32" s="4">
        <f>MAX(Sheet30!A2:A5000)</f>
        <v>0</v>
      </c>
      <c r="H32" s="1">
        <f t="shared" si="0"/>
        <v>0</v>
      </c>
      <c r="I32" s="1">
        <f t="shared" si="1"/>
        <v>0</v>
      </c>
      <c r="J32" s="1">
        <f t="shared" si="2"/>
        <v>0</v>
      </c>
      <c r="K32" s="44">
        <f t="shared" si="3"/>
        <v>0</v>
      </c>
      <c r="L32" s="49">
        <f t="shared" si="7"/>
        <v>0</v>
      </c>
      <c r="M32" s="46" t="e">
        <f t="shared" si="4"/>
        <v>#DIV/0!</v>
      </c>
      <c r="N32" s="1" t="e">
        <f t="shared" si="5"/>
        <v>#DIV/0!</v>
      </c>
      <c r="O32" s="18" t="e">
        <f t="shared" si="6"/>
        <v>#DIV/0!</v>
      </c>
    </row>
    <row r="33" spans="1:15" x14ac:dyDescent="0.3">
      <c r="A33" s="32">
        <f>Sheet31!L1</f>
        <v>0</v>
      </c>
      <c r="B33" s="29">
        <f>MIN(Sheet31!B2:B5000)</f>
        <v>0</v>
      </c>
      <c r="C33" s="4">
        <f>AVERAGE(Sheet31!B2:B5000)</f>
        <v>0</v>
      </c>
      <c r="D33" s="4">
        <f>MAX(Sheet31!B2:B5000)</f>
        <v>0</v>
      </c>
      <c r="E33" s="4">
        <f>Sheet31!G2</f>
        <v>0</v>
      </c>
      <c r="F33" s="4">
        <f>MIN(Sheet31!A2:A5000)</f>
        <v>0</v>
      </c>
      <c r="G33" s="4">
        <f>MAX(Sheet31!A2:A5000)</f>
        <v>0</v>
      </c>
      <c r="H33" s="1">
        <f t="shared" si="0"/>
        <v>0</v>
      </c>
      <c r="I33" s="1">
        <f t="shared" si="1"/>
        <v>0</v>
      </c>
      <c r="J33" s="1">
        <f t="shared" si="2"/>
        <v>0</v>
      </c>
      <c r="K33" s="44">
        <f t="shared" si="3"/>
        <v>0</v>
      </c>
      <c r="L33" s="49">
        <f t="shared" si="7"/>
        <v>0</v>
      </c>
      <c r="M33" s="46" t="e">
        <f t="shared" si="4"/>
        <v>#DIV/0!</v>
      </c>
      <c r="N33" s="1" t="e">
        <f t="shared" si="5"/>
        <v>#DIV/0!</v>
      </c>
      <c r="O33" s="18" t="e">
        <f t="shared" si="6"/>
        <v>#DIV/0!</v>
      </c>
    </row>
    <row r="34" spans="1:15" x14ac:dyDescent="0.3">
      <c r="A34" s="32">
        <f>Sheet32!L1</f>
        <v>0</v>
      </c>
      <c r="B34" s="29">
        <f>MIN(Sheet32!B2:B5000)</f>
        <v>0</v>
      </c>
      <c r="C34" s="4">
        <f>AVERAGE(Sheet32!B2:B5000)</f>
        <v>0</v>
      </c>
      <c r="D34" s="4">
        <f>MAX(Sheet32!B2:B5000)</f>
        <v>0</v>
      </c>
      <c r="E34" s="4">
        <f>Sheet32!G2</f>
        <v>0</v>
      </c>
      <c r="F34" s="4">
        <f>MIN(Sheet32!A2:A5000)</f>
        <v>0</v>
      </c>
      <c r="G34" s="4">
        <f>MAX(Sheet32!A2:A5000)</f>
        <v>0</v>
      </c>
      <c r="H34" s="1">
        <f t="shared" si="0"/>
        <v>0</v>
      </c>
      <c r="I34" s="1">
        <f t="shared" si="1"/>
        <v>0</v>
      </c>
      <c r="J34" s="1">
        <f t="shared" si="2"/>
        <v>0</v>
      </c>
      <c r="K34" s="44">
        <f t="shared" si="3"/>
        <v>0</v>
      </c>
      <c r="L34" s="49">
        <f t="shared" si="7"/>
        <v>0</v>
      </c>
      <c r="M34" s="46" t="e">
        <f t="shared" si="4"/>
        <v>#DIV/0!</v>
      </c>
      <c r="N34" s="1" t="e">
        <f t="shared" si="5"/>
        <v>#DIV/0!</v>
      </c>
      <c r="O34" s="18" t="e">
        <f t="shared" si="6"/>
        <v>#DIV/0!</v>
      </c>
    </row>
    <row r="35" spans="1:15" x14ac:dyDescent="0.3">
      <c r="A35" s="32">
        <f>Sheet33!L1</f>
        <v>0</v>
      </c>
      <c r="B35" s="29">
        <f>MIN(Sheet33!B2:B5000)</f>
        <v>0</v>
      </c>
      <c r="C35" s="4">
        <f>AVERAGE(Sheet33!B2:B5000)</f>
        <v>0</v>
      </c>
      <c r="D35" s="4">
        <f>MAX(Sheet33!B2:B5000)</f>
        <v>0</v>
      </c>
      <c r="E35" s="4">
        <f>Sheet33!G2</f>
        <v>0</v>
      </c>
      <c r="F35" s="4">
        <f>MIN(Sheet33!A2:A5000)</f>
        <v>0</v>
      </c>
      <c r="G35" s="4">
        <f>MAX(Sheet33!A2:A5000)</f>
        <v>0</v>
      </c>
      <c r="H35" s="1">
        <f t="shared" ref="H35:H52" si="8">((G35-$Q$1)*($Q$3*B35^2))/1273</f>
        <v>0</v>
      </c>
      <c r="I35" s="1">
        <f t="shared" ref="I35:I52" si="9">((G35-$Q$1)*($Q$3*C35^2))/1273</f>
        <v>0</v>
      </c>
      <c r="J35" s="1">
        <f t="shared" ref="J35:J52" si="10">((G35-$Q$1)*($Q$3*D35^2))/1273</f>
        <v>0</v>
      </c>
      <c r="K35" s="44">
        <f t="shared" ref="K35:K52" si="11">((G35-$Q$1)*($Q$3*E35^2))/1273</f>
        <v>0</v>
      </c>
      <c r="L35" s="49">
        <f t="shared" si="7"/>
        <v>0</v>
      </c>
      <c r="M35" s="46" t="e">
        <f t="shared" ref="M35:M52" si="12">((H35/$K35)*100)-100</f>
        <v>#DIV/0!</v>
      </c>
      <c r="N35" s="1" t="e">
        <f t="shared" ref="N35:N52" si="13">((I35/$K35)*100)-100</f>
        <v>#DIV/0!</v>
      </c>
      <c r="O35" s="18" t="e">
        <f t="shared" ref="O35:O52" si="14">((J35/$K35)*100)-100</f>
        <v>#DIV/0!</v>
      </c>
    </row>
    <row r="36" spans="1:15" x14ac:dyDescent="0.3">
      <c r="A36" s="32">
        <f>Sheet34!L1</f>
        <v>0</v>
      </c>
      <c r="B36" s="29">
        <f>MIN(Sheet34!B2:B5000)</f>
        <v>0</v>
      </c>
      <c r="C36" s="4">
        <f>AVERAGE(Sheet34!B2:B5000)</f>
        <v>0</v>
      </c>
      <c r="D36" s="4">
        <f>MAX(Sheet34!B2:B5000)</f>
        <v>0</v>
      </c>
      <c r="E36" s="4">
        <f>Sheet34!G2</f>
        <v>0</v>
      </c>
      <c r="F36" s="4">
        <f>MIN(Sheet34!A2:A5000)</f>
        <v>0</v>
      </c>
      <c r="G36" s="4">
        <f>MAX(Sheet34!A2:A5000)</f>
        <v>0</v>
      </c>
      <c r="H36" s="1">
        <f t="shared" si="8"/>
        <v>0</v>
      </c>
      <c r="I36" s="1">
        <f t="shared" si="9"/>
        <v>0</v>
      </c>
      <c r="J36" s="1">
        <f t="shared" si="10"/>
        <v>0</v>
      </c>
      <c r="K36" s="44">
        <f t="shared" si="11"/>
        <v>0</v>
      </c>
      <c r="L36" s="49">
        <f t="shared" si="7"/>
        <v>0</v>
      </c>
      <c r="M36" s="46" t="e">
        <f t="shared" si="12"/>
        <v>#DIV/0!</v>
      </c>
      <c r="N36" s="1" t="e">
        <f t="shared" si="13"/>
        <v>#DIV/0!</v>
      </c>
      <c r="O36" s="18" t="e">
        <f t="shared" si="14"/>
        <v>#DIV/0!</v>
      </c>
    </row>
    <row r="37" spans="1:15" x14ac:dyDescent="0.3">
      <c r="A37" s="32">
        <f>Sheet35!L1</f>
        <v>0</v>
      </c>
      <c r="B37" s="29">
        <f>MIN(Sheet35!B2:B5000)</f>
        <v>0</v>
      </c>
      <c r="C37" s="4">
        <f>AVERAGE(Sheet35!B2:B5000)</f>
        <v>0</v>
      </c>
      <c r="D37" s="4">
        <f>MAX(Sheet35!B2:B5000)</f>
        <v>0</v>
      </c>
      <c r="E37" s="4">
        <f>Sheet35!G2</f>
        <v>0</v>
      </c>
      <c r="F37" s="4">
        <f>MIN(Sheet35!A2:A5000)</f>
        <v>0</v>
      </c>
      <c r="G37" s="4">
        <f>MAX(Sheet35!A2:A5000)</f>
        <v>0</v>
      </c>
      <c r="H37" s="1">
        <f t="shared" si="8"/>
        <v>0</v>
      </c>
      <c r="I37" s="1">
        <f t="shared" si="9"/>
        <v>0</v>
      </c>
      <c r="J37" s="1">
        <f t="shared" si="10"/>
        <v>0</v>
      </c>
      <c r="K37" s="44">
        <f t="shared" si="11"/>
        <v>0</v>
      </c>
      <c r="L37" s="49">
        <f t="shared" si="7"/>
        <v>0</v>
      </c>
      <c r="M37" s="46" t="e">
        <f t="shared" si="12"/>
        <v>#DIV/0!</v>
      </c>
      <c r="N37" s="1" t="e">
        <f t="shared" si="13"/>
        <v>#DIV/0!</v>
      </c>
      <c r="O37" s="18" t="e">
        <f t="shared" si="14"/>
        <v>#DIV/0!</v>
      </c>
    </row>
    <row r="38" spans="1:15" x14ac:dyDescent="0.3">
      <c r="A38" s="32">
        <f>Sheet36!L1</f>
        <v>0</v>
      </c>
      <c r="B38" s="29">
        <f>MIN(Sheet36!B2:B5000)</f>
        <v>0</v>
      </c>
      <c r="C38" s="4">
        <f>AVERAGE(Sheet36!B2:B5000)</f>
        <v>0</v>
      </c>
      <c r="D38" s="4">
        <f>MAX(Sheet36!B2:B5000)</f>
        <v>0</v>
      </c>
      <c r="E38" s="4">
        <f>Sheet36!G2</f>
        <v>0</v>
      </c>
      <c r="F38" s="4">
        <f>MIN(Sheet36!A2:A5000)</f>
        <v>0</v>
      </c>
      <c r="G38" s="4">
        <f>MAX(Sheet36!A2:A5000)</f>
        <v>0</v>
      </c>
      <c r="H38" s="1">
        <f t="shared" si="8"/>
        <v>0</v>
      </c>
      <c r="I38" s="1">
        <f t="shared" si="9"/>
        <v>0</v>
      </c>
      <c r="J38" s="1">
        <f t="shared" si="10"/>
        <v>0</v>
      </c>
      <c r="K38" s="44">
        <f t="shared" si="11"/>
        <v>0</v>
      </c>
      <c r="L38" s="49">
        <f t="shared" si="7"/>
        <v>0</v>
      </c>
      <c r="M38" s="46" t="e">
        <f t="shared" si="12"/>
        <v>#DIV/0!</v>
      </c>
      <c r="N38" s="1" t="e">
        <f t="shared" si="13"/>
        <v>#DIV/0!</v>
      </c>
      <c r="O38" s="18" t="e">
        <f t="shared" si="14"/>
        <v>#DIV/0!</v>
      </c>
    </row>
    <row r="39" spans="1:15" x14ac:dyDescent="0.3">
      <c r="A39" s="32">
        <f>Sheet37!L1</f>
        <v>0</v>
      </c>
      <c r="B39" s="29">
        <f>MIN(Sheet37!B2:B5000)</f>
        <v>0</v>
      </c>
      <c r="C39" s="4">
        <f>AVERAGE(Sheet37!B2:B5000)</f>
        <v>0</v>
      </c>
      <c r="D39" s="4">
        <f>MAX(Sheet37!B2:B5000)</f>
        <v>0</v>
      </c>
      <c r="E39" s="4">
        <f>Sheet37!G2</f>
        <v>0</v>
      </c>
      <c r="F39" s="4">
        <f>MIN(Sheet37!A2:A5000)</f>
        <v>0</v>
      </c>
      <c r="G39" s="4">
        <f>MAX(Sheet37!A2:A5000)</f>
        <v>0</v>
      </c>
      <c r="H39" s="1">
        <f t="shared" si="8"/>
        <v>0</v>
      </c>
      <c r="I39" s="1">
        <f t="shared" si="9"/>
        <v>0</v>
      </c>
      <c r="J39" s="1">
        <f t="shared" si="10"/>
        <v>0</v>
      </c>
      <c r="K39" s="44">
        <f t="shared" si="11"/>
        <v>0</v>
      </c>
      <c r="L39" s="49">
        <f t="shared" si="7"/>
        <v>0</v>
      </c>
      <c r="M39" s="46" t="e">
        <f t="shared" si="12"/>
        <v>#DIV/0!</v>
      </c>
      <c r="N39" s="1" t="e">
        <f t="shared" si="13"/>
        <v>#DIV/0!</v>
      </c>
      <c r="O39" s="18" t="e">
        <f t="shared" si="14"/>
        <v>#DIV/0!</v>
      </c>
    </row>
    <row r="40" spans="1:15" x14ac:dyDescent="0.3">
      <c r="A40" s="32">
        <f>Sheet38!L1</f>
        <v>0</v>
      </c>
      <c r="B40" s="29">
        <f>MIN(Sheet38!B2:B5000)</f>
        <v>0</v>
      </c>
      <c r="C40" s="4">
        <f>AVERAGE(Sheet38!B2:B5000)</f>
        <v>0</v>
      </c>
      <c r="D40" s="4">
        <f>MAX(Sheet38!B2:B5000)</f>
        <v>0</v>
      </c>
      <c r="E40" s="4">
        <f>Sheet38!G2</f>
        <v>0</v>
      </c>
      <c r="F40" s="4">
        <f>MIN(Sheet38!A2:A5000)</f>
        <v>0</v>
      </c>
      <c r="G40" s="4">
        <f>MAX(Sheet38!A2:A5000)</f>
        <v>0</v>
      </c>
      <c r="H40" s="1">
        <f t="shared" si="8"/>
        <v>0</v>
      </c>
      <c r="I40" s="1">
        <f t="shared" si="9"/>
        <v>0</v>
      </c>
      <c r="J40" s="1">
        <f t="shared" si="10"/>
        <v>0</v>
      </c>
      <c r="K40" s="44">
        <f t="shared" si="11"/>
        <v>0</v>
      </c>
      <c r="L40" s="49">
        <f t="shared" si="7"/>
        <v>0</v>
      </c>
      <c r="M40" s="46" t="e">
        <f t="shared" si="12"/>
        <v>#DIV/0!</v>
      </c>
      <c r="N40" s="1" t="e">
        <f t="shared" si="13"/>
        <v>#DIV/0!</v>
      </c>
      <c r="O40" s="18" t="e">
        <f t="shared" si="14"/>
        <v>#DIV/0!</v>
      </c>
    </row>
    <row r="41" spans="1:15" x14ac:dyDescent="0.3">
      <c r="A41" s="32">
        <f>Sheet39!L1</f>
        <v>0</v>
      </c>
      <c r="B41" s="29">
        <f>MIN(Sheet39!B2:B5000)</f>
        <v>0</v>
      </c>
      <c r="C41" s="4">
        <f>AVERAGE(Sheet39!B2:B5000)</f>
        <v>0</v>
      </c>
      <c r="D41" s="4">
        <f>MAX(Sheet39!B2:B5000)</f>
        <v>0</v>
      </c>
      <c r="E41" s="4">
        <f>Sheet39!G2</f>
        <v>0</v>
      </c>
      <c r="F41" s="4">
        <f>MIN(Sheet39!A2:A5000)</f>
        <v>0</v>
      </c>
      <c r="G41" s="4">
        <f>MAX(Sheet39!A2:A5000)</f>
        <v>0</v>
      </c>
      <c r="H41" s="1">
        <f t="shared" si="8"/>
        <v>0</v>
      </c>
      <c r="I41" s="1">
        <f t="shared" si="9"/>
        <v>0</v>
      </c>
      <c r="J41" s="1">
        <f t="shared" si="10"/>
        <v>0</v>
      </c>
      <c r="K41" s="44">
        <f t="shared" si="11"/>
        <v>0</v>
      </c>
      <c r="L41" s="49">
        <f t="shared" si="7"/>
        <v>0</v>
      </c>
      <c r="M41" s="46" t="e">
        <f t="shared" si="12"/>
        <v>#DIV/0!</v>
      </c>
      <c r="N41" s="1" t="e">
        <f t="shared" si="13"/>
        <v>#DIV/0!</v>
      </c>
      <c r="O41" s="18" t="e">
        <f t="shared" si="14"/>
        <v>#DIV/0!</v>
      </c>
    </row>
    <row r="42" spans="1:15" x14ac:dyDescent="0.3">
      <c r="A42" s="32">
        <f>Sheet40!L1</f>
        <v>0</v>
      </c>
      <c r="B42" s="29">
        <f>MIN(Sheet40!B2:B5000)</f>
        <v>0</v>
      </c>
      <c r="C42" s="4">
        <f>AVERAGE(Sheet40!B2:B5000)</f>
        <v>0</v>
      </c>
      <c r="D42" s="4">
        <f>MAX(Sheet40!B2:B5000)</f>
        <v>0</v>
      </c>
      <c r="E42" s="4">
        <f>Sheet40!G2</f>
        <v>0</v>
      </c>
      <c r="F42" s="4">
        <f>MIN(Sheet40!A2:A5000)</f>
        <v>0</v>
      </c>
      <c r="G42" s="4">
        <f>MAX(Sheet40!A2:A5000)</f>
        <v>0</v>
      </c>
      <c r="H42" s="1">
        <f t="shared" si="8"/>
        <v>0</v>
      </c>
      <c r="I42" s="1">
        <f t="shared" si="9"/>
        <v>0</v>
      </c>
      <c r="J42" s="1">
        <f t="shared" si="10"/>
        <v>0</v>
      </c>
      <c r="K42" s="44">
        <f t="shared" si="11"/>
        <v>0</v>
      </c>
      <c r="L42" s="49">
        <f t="shared" si="7"/>
        <v>0</v>
      </c>
      <c r="M42" s="46" t="e">
        <f t="shared" si="12"/>
        <v>#DIV/0!</v>
      </c>
      <c r="N42" s="1" t="e">
        <f t="shared" si="13"/>
        <v>#DIV/0!</v>
      </c>
      <c r="O42" s="18" t="e">
        <f t="shared" si="14"/>
        <v>#DIV/0!</v>
      </c>
    </row>
    <row r="43" spans="1:15" x14ac:dyDescent="0.3">
      <c r="A43" s="32">
        <f>Sheet41!L1</f>
        <v>0</v>
      </c>
      <c r="B43" s="29">
        <f>MIN(Sheet41!B2:B5000)</f>
        <v>0</v>
      </c>
      <c r="C43" s="4">
        <f>AVERAGE(Sheet41!B2:B5000)</f>
        <v>0</v>
      </c>
      <c r="D43" s="4">
        <f>MAX(Sheet41!B2:B5000)</f>
        <v>0</v>
      </c>
      <c r="E43" s="4">
        <f>Sheet41!G2</f>
        <v>0</v>
      </c>
      <c r="F43" s="4">
        <f>MIN(Sheet41!A2:A5000)</f>
        <v>0</v>
      </c>
      <c r="G43" s="4">
        <f>MAX(Sheet41!A2:A5000)</f>
        <v>0</v>
      </c>
      <c r="H43" s="1">
        <f t="shared" si="8"/>
        <v>0</v>
      </c>
      <c r="I43" s="1">
        <f t="shared" si="9"/>
        <v>0</v>
      </c>
      <c r="J43" s="1">
        <f t="shared" si="10"/>
        <v>0</v>
      </c>
      <c r="K43" s="44">
        <f t="shared" si="11"/>
        <v>0</v>
      </c>
      <c r="L43" s="49">
        <f t="shared" si="7"/>
        <v>0</v>
      </c>
      <c r="M43" s="46" t="e">
        <f t="shared" si="12"/>
        <v>#DIV/0!</v>
      </c>
      <c r="N43" s="1" t="e">
        <f t="shared" si="13"/>
        <v>#DIV/0!</v>
      </c>
      <c r="O43" s="18" t="e">
        <f t="shared" si="14"/>
        <v>#DIV/0!</v>
      </c>
    </row>
    <row r="44" spans="1:15" x14ac:dyDescent="0.3">
      <c r="A44" s="32">
        <f>Sheet42!L1</f>
        <v>0</v>
      </c>
      <c r="B44" s="29">
        <f>MIN(Sheet42!B2:B5000)</f>
        <v>0</v>
      </c>
      <c r="C44" s="4">
        <f>AVERAGE(Sheet42!B2:B5000)</f>
        <v>0</v>
      </c>
      <c r="D44" s="4">
        <f>MAX(Sheet42!B2:B5000)</f>
        <v>0</v>
      </c>
      <c r="E44" s="4">
        <f>Sheet42!G2</f>
        <v>0</v>
      </c>
      <c r="F44" s="4">
        <f>MIN(Sheet42!A2:A5000)</f>
        <v>0</v>
      </c>
      <c r="G44" s="4">
        <f>MAX(Sheet42!A2:A5000)</f>
        <v>0</v>
      </c>
      <c r="H44" s="1">
        <f t="shared" si="8"/>
        <v>0</v>
      </c>
      <c r="I44" s="1">
        <f t="shared" si="9"/>
        <v>0</v>
      </c>
      <c r="J44" s="1">
        <f t="shared" si="10"/>
        <v>0</v>
      </c>
      <c r="K44" s="44">
        <f t="shared" si="11"/>
        <v>0</v>
      </c>
      <c r="L44" s="49">
        <f t="shared" si="7"/>
        <v>0</v>
      </c>
      <c r="M44" s="46" t="e">
        <f t="shared" si="12"/>
        <v>#DIV/0!</v>
      </c>
      <c r="N44" s="1" t="e">
        <f t="shared" si="13"/>
        <v>#DIV/0!</v>
      </c>
      <c r="O44" s="18" t="e">
        <f t="shared" si="14"/>
        <v>#DIV/0!</v>
      </c>
    </row>
    <row r="45" spans="1:15" x14ac:dyDescent="0.3">
      <c r="A45" s="32">
        <f>Sheet43!L1</f>
        <v>0</v>
      </c>
      <c r="B45" s="29">
        <f>MIN(Sheet43!B2:B5000)</f>
        <v>0</v>
      </c>
      <c r="C45" s="4">
        <f>AVERAGE(Sheet43!B2:B5000)</f>
        <v>0</v>
      </c>
      <c r="D45" s="4">
        <f>MAX(Sheet43!B2:B5000)</f>
        <v>0</v>
      </c>
      <c r="E45" s="4">
        <f>Sheet43!G2</f>
        <v>0</v>
      </c>
      <c r="F45" s="4">
        <f>MIN(Sheet43!A2:A5000)</f>
        <v>0</v>
      </c>
      <c r="G45" s="4">
        <f>MAX(Sheet43!A2:A5000)</f>
        <v>0</v>
      </c>
      <c r="H45" s="1">
        <f t="shared" si="8"/>
        <v>0</v>
      </c>
      <c r="I45" s="1">
        <f t="shared" si="9"/>
        <v>0</v>
      </c>
      <c r="J45" s="1">
        <f t="shared" si="10"/>
        <v>0</v>
      </c>
      <c r="K45" s="44">
        <f t="shared" si="11"/>
        <v>0</v>
      </c>
      <c r="L45" s="49">
        <f t="shared" si="7"/>
        <v>0</v>
      </c>
      <c r="M45" s="46" t="e">
        <f t="shared" si="12"/>
        <v>#DIV/0!</v>
      </c>
      <c r="N45" s="1" t="e">
        <f t="shared" si="13"/>
        <v>#DIV/0!</v>
      </c>
      <c r="O45" s="18" t="e">
        <f t="shared" si="14"/>
        <v>#DIV/0!</v>
      </c>
    </row>
    <row r="46" spans="1:15" x14ac:dyDescent="0.3">
      <c r="A46" s="32">
        <f>Sheet44!L1</f>
        <v>0</v>
      </c>
      <c r="B46" s="29">
        <f>MIN(Sheet44!B2:B5000)</f>
        <v>0</v>
      </c>
      <c r="C46" s="4">
        <f>AVERAGE(Sheet44!B2:B5000)</f>
        <v>0</v>
      </c>
      <c r="D46" s="4">
        <f>MAX(Sheet44!B2:B5000)</f>
        <v>0</v>
      </c>
      <c r="E46" s="4">
        <f>Sheet44!G2</f>
        <v>0</v>
      </c>
      <c r="F46" s="4">
        <f>MIN(Sheet44!A2:A5000)</f>
        <v>0</v>
      </c>
      <c r="G46" s="4">
        <f>MAX(Sheet44!A2:A5000)</f>
        <v>0</v>
      </c>
      <c r="H46" s="1">
        <f t="shared" si="8"/>
        <v>0</v>
      </c>
      <c r="I46" s="1">
        <f t="shared" si="9"/>
        <v>0</v>
      </c>
      <c r="J46" s="1">
        <f t="shared" si="10"/>
        <v>0</v>
      </c>
      <c r="K46" s="44">
        <f t="shared" si="11"/>
        <v>0</v>
      </c>
      <c r="L46" s="49">
        <f t="shared" si="7"/>
        <v>0</v>
      </c>
      <c r="M46" s="46" t="e">
        <f t="shared" si="12"/>
        <v>#DIV/0!</v>
      </c>
      <c r="N46" s="1" t="e">
        <f t="shared" si="13"/>
        <v>#DIV/0!</v>
      </c>
      <c r="O46" s="18" t="e">
        <f t="shared" si="14"/>
        <v>#DIV/0!</v>
      </c>
    </row>
    <row r="47" spans="1:15" x14ac:dyDescent="0.3">
      <c r="A47" s="32">
        <f>Sheet45!L1</f>
        <v>0</v>
      </c>
      <c r="B47" s="29">
        <f>MIN(Sheet45!B2:B5000)</f>
        <v>0</v>
      </c>
      <c r="C47" s="4">
        <f>AVERAGE(Sheet45!B2:B5000)</f>
        <v>0</v>
      </c>
      <c r="D47" s="4">
        <f>MAX(Sheet45!B2:B5000)</f>
        <v>0</v>
      </c>
      <c r="E47" s="4">
        <f>Sheet45!G2</f>
        <v>0</v>
      </c>
      <c r="F47" s="4">
        <f>MIN(Sheet45!A2:A5000)</f>
        <v>0</v>
      </c>
      <c r="G47" s="4">
        <f>MAX(Sheet45!A2:A5000)</f>
        <v>0</v>
      </c>
      <c r="H47" s="1">
        <f t="shared" si="8"/>
        <v>0</v>
      </c>
      <c r="I47" s="1">
        <f t="shared" si="9"/>
        <v>0</v>
      </c>
      <c r="J47" s="1">
        <f t="shared" si="10"/>
        <v>0</v>
      </c>
      <c r="K47" s="44">
        <f t="shared" si="11"/>
        <v>0</v>
      </c>
      <c r="L47" s="49">
        <f t="shared" si="7"/>
        <v>0</v>
      </c>
      <c r="M47" s="46" t="e">
        <f t="shared" si="12"/>
        <v>#DIV/0!</v>
      </c>
      <c r="N47" s="1" t="e">
        <f t="shared" si="13"/>
        <v>#DIV/0!</v>
      </c>
      <c r="O47" s="18" t="e">
        <f t="shared" si="14"/>
        <v>#DIV/0!</v>
      </c>
    </row>
    <row r="48" spans="1:15" x14ac:dyDescent="0.3">
      <c r="A48" s="32">
        <f>Sheet46!L1</f>
        <v>0</v>
      </c>
      <c r="B48" s="29">
        <f>MIN(Sheet46!B2:B5000)</f>
        <v>0</v>
      </c>
      <c r="C48" s="4">
        <f>AVERAGE(Sheet46!B2:B5000)</f>
        <v>0</v>
      </c>
      <c r="D48" s="4">
        <f>MAX(Sheet46!B2:B5000)</f>
        <v>0</v>
      </c>
      <c r="E48" s="4">
        <f>Sheet46!G2</f>
        <v>0</v>
      </c>
      <c r="F48" s="4">
        <f>MIN(Sheet46!A2:A5000)</f>
        <v>0</v>
      </c>
      <c r="G48" s="4">
        <f>MAX(Sheet46!A2:A5000)</f>
        <v>0</v>
      </c>
      <c r="H48" s="1">
        <f t="shared" si="8"/>
        <v>0</v>
      </c>
      <c r="I48" s="1">
        <f t="shared" si="9"/>
        <v>0</v>
      </c>
      <c r="J48" s="1">
        <f t="shared" si="10"/>
        <v>0</v>
      </c>
      <c r="K48" s="44">
        <f t="shared" si="11"/>
        <v>0</v>
      </c>
      <c r="L48" s="49">
        <f t="shared" si="7"/>
        <v>0</v>
      </c>
      <c r="M48" s="46" t="e">
        <f t="shared" si="12"/>
        <v>#DIV/0!</v>
      </c>
      <c r="N48" s="1" t="e">
        <f t="shared" si="13"/>
        <v>#DIV/0!</v>
      </c>
      <c r="O48" s="18" t="e">
        <f t="shared" si="14"/>
        <v>#DIV/0!</v>
      </c>
    </row>
    <row r="49" spans="1:16" x14ac:dyDescent="0.3">
      <c r="A49" s="32">
        <f>Sheet47!L1</f>
        <v>0</v>
      </c>
      <c r="B49" s="29">
        <f>MIN(Sheet47!B2:B5000)</f>
        <v>0</v>
      </c>
      <c r="C49" s="4">
        <f>AVERAGE(Sheet47!B2:B5000)</f>
        <v>0</v>
      </c>
      <c r="D49" s="4">
        <f>MAX(Sheet47!B2:B5000)</f>
        <v>0</v>
      </c>
      <c r="E49" s="4">
        <f>Sheet47!G2</f>
        <v>0</v>
      </c>
      <c r="F49" s="4">
        <f>MIN(Sheet47!A2:A5000)</f>
        <v>0</v>
      </c>
      <c r="G49" s="4">
        <f>MAX(Sheet47!A2:A5000)</f>
        <v>0</v>
      </c>
      <c r="H49" s="1">
        <f t="shared" si="8"/>
        <v>0</v>
      </c>
      <c r="I49" s="1">
        <f t="shared" si="9"/>
        <v>0</v>
      </c>
      <c r="J49" s="1">
        <f t="shared" si="10"/>
        <v>0</v>
      </c>
      <c r="K49" s="44">
        <f t="shared" si="11"/>
        <v>0</v>
      </c>
      <c r="L49" s="49">
        <f t="shared" si="7"/>
        <v>0</v>
      </c>
      <c r="M49" s="46" t="e">
        <f t="shared" si="12"/>
        <v>#DIV/0!</v>
      </c>
      <c r="N49" s="1" t="e">
        <f t="shared" si="13"/>
        <v>#DIV/0!</v>
      </c>
      <c r="O49" s="18" t="e">
        <f t="shared" si="14"/>
        <v>#DIV/0!</v>
      </c>
    </row>
    <row r="50" spans="1:16" x14ac:dyDescent="0.3">
      <c r="A50" s="32">
        <f>Sheet48!L1</f>
        <v>0</v>
      </c>
      <c r="B50" s="29">
        <f>MIN(Sheet48!B2:B5000)</f>
        <v>0</v>
      </c>
      <c r="C50" s="4">
        <f>AVERAGE(Sheet48!B2:B5000)</f>
        <v>0</v>
      </c>
      <c r="D50" s="4">
        <f>MAX(Sheet48!B2:B5000)</f>
        <v>0</v>
      </c>
      <c r="E50" s="4">
        <f>Sheet48!G2</f>
        <v>0</v>
      </c>
      <c r="F50" s="4">
        <f>MIN(Sheet48!A2:A5000)</f>
        <v>0</v>
      </c>
      <c r="G50" s="4">
        <f>MAX(Sheet48!A2:A5000)</f>
        <v>0</v>
      </c>
      <c r="H50" s="1">
        <f t="shared" si="8"/>
        <v>0</v>
      </c>
      <c r="I50" s="1">
        <f t="shared" si="9"/>
        <v>0</v>
      </c>
      <c r="J50" s="1">
        <f t="shared" si="10"/>
        <v>0</v>
      </c>
      <c r="K50" s="44">
        <f t="shared" si="11"/>
        <v>0</v>
      </c>
      <c r="L50" s="49">
        <f t="shared" si="7"/>
        <v>0</v>
      </c>
      <c r="M50" s="46" t="e">
        <f t="shared" si="12"/>
        <v>#DIV/0!</v>
      </c>
      <c r="N50" s="1" t="e">
        <f t="shared" si="13"/>
        <v>#DIV/0!</v>
      </c>
      <c r="O50" s="18" t="e">
        <f t="shared" si="14"/>
        <v>#DIV/0!</v>
      </c>
    </row>
    <row r="51" spans="1:16" x14ac:dyDescent="0.3">
      <c r="A51" s="32">
        <f>Sheet49!L1</f>
        <v>0</v>
      </c>
      <c r="B51" s="29">
        <f>MIN(Sheet49!B2:B5000)</f>
        <v>0</v>
      </c>
      <c r="C51" s="4">
        <f>AVERAGE(Sheet49!B2:B5000)</f>
        <v>0</v>
      </c>
      <c r="D51" s="4">
        <f>MAX(Sheet49!B2:B5000)</f>
        <v>0</v>
      </c>
      <c r="E51" s="4">
        <f>Sheet49!G2</f>
        <v>0</v>
      </c>
      <c r="F51" s="4">
        <f>MIN(Sheet49!A2:A5000)</f>
        <v>0</v>
      </c>
      <c r="G51" s="4">
        <f>MAX(Sheet49!A2:A5000)</f>
        <v>0</v>
      </c>
      <c r="H51" s="1">
        <f t="shared" si="8"/>
        <v>0</v>
      </c>
      <c r="I51" s="1">
        <f t="shared" si="9"/>
        <v>0</v>
      </c>
      <c r="J51" s="1">
        <f t="shared" si="10"/>
        <v>0</v>
      </c>
      <c r="K51" s="44">
        <f t="shared" si="11"/>
        <v>0</v>
      </c>
      <c r="L51" s="49">
        <f t="shared" si="7"/>
        <v>0</v>
      </c>
      <c r="M51" s="46" t="e">
        <f t="shared" si="12"/>
        <v>#DIV/0!</v>
      </c>
      <c r="N51" s="1" t="e">
        <f t="shared" si="13"/>
        <v>#DIV/0!</v>
      </c>
      <c r="O51" s="18" t="e">
        <f t="shared" si="14"/>
        <v>#DIV/0!</v>
      </c>
    </row>
    <row r="52" spans="1:16" ht="15" thickBot="1" x14ac:dyDescent="0.35">
      <c r="A52" s="70">
        <f>Sheet50!L1</f>
        <v>0</v>
      </c>
      <c r="B52" s="30">
        <f>MIN(Sheet50!B2:B5000)</f>
        <v>0</v>
      </c>
      <c r="C52" s="12">
        <f>AVERAGE(Sheet50!B2:B5000)</f>
        <v>0</v>
      </c>
      <c r="D52" s="12">
        <f>MAX(Sheet50!B2:B5000)</f>
        <v>0</v>
      </c>
      <c r="E52" s="12">
        <f>Sheet50!G2</f>
        <v>0</v>
      </c>
      <c r="F52" s="12">
        <f>MIN(Sheet50!A2:A5000)</f>
        <v>0</v>
      </c>
      <c r="G52" s="12">
        <f>MAX(Sheet50!A2:A5000)</f>
        <v>0</v>
      </c>
      <c r="H52" s="13">
        <f t="shared" si="8"/>
        <v>0</v>
      </c>
      <c r="I52" s="13">
        <f t="shared" si="9"/>
        <v>0</v>
      </c>
      <c r="J52" s="13">
        <f t="shared" si="10"/>
        <v>0</v>
      </c>
      <c r="K52" s="44">
        <f t="shared" si="11"/>
        <v>0</v>
      </c>
      <c r="L52" s="50">
        <f t="shared" si="7"/>
        <v>0</v>
      </c>
      <c r="M52" s="47" t="e">
        <f t="shared" si="12"/>
        <v>#DIV/0!</v>
      </c>
      <c r="N52" s="20" t="e">
        <f t="shared" si="13"/>
        <v>#DIV/0!</v>
      </c>
      <c r="O52" s="21" t="e">
        <f t="shared" si="14"/>
        <v>#DIV/0!</v>
      </c>
    </row>
    <row r="53" spans="1:16" ht="15.6" x14ac:dyDescent="0.3">
      <c r="A53" s="14" t="s">
        <v>7</v>
      </c>
      <c r="B53" s="22"/>
      <c r="C53" s="52"/>
      <c r="D53" s="22"/>
      <c r="E53" s="53"/>
      <c r="F53" s="71"/>
      <c r="G53" s="72"/>
      <c r="H53" s="71"/>
      <c r="I53" s="77"/>
      <c r="J53" s="77"/>
      <c r="K53" s="52"/>
      <c r="L53" s="52"/>
      <c r="M53" s="22"/>
      <c r="N53" s="52"/>
      <c r="O53" s="26"/>
      <c r="P53" s="2"/>
    </row>
    <row r="54" spans="1:16" ht="15.6" x14ac:dyDescent="0.3">
      <c r="A54" s="15" t="s">
        <v>0</v>
      </c>
      <c r="B54" s="23"/>
      <c r="C54" s="54"/>
      <c r="D54" s="23"/>
      <c r="E54" s="55"/>
      <c r="F54" s="73"/>
      <c r="G54" s="74"/>
      <c r="H54" s="73"/>
      <c r="I54" s="78"/>
      <c r="J54" s="78"/>
      <c r="K54" s="54"/>
      <c r="L54" s="58"/>
      <c r="M54" s="23"/>
      <c r="N54" s="54"/>
      <c r="O54" s="28"/>
      <c r="P54" s="2"/>
    </row>
    <row r="55" spans="1:16" ht="16.2" thickBot="1" x14ac:dyDescent="0.35">
      <c r="A55" s="69" t="s">
        <v>8</v>
      </c>
      <c r="B55" s="24"/>
      <c r="C55" s="56"/>
      <c r="D55" s="24"/>
      <c r="E55" s="57"/>
      <c r="F55" s="75"/>
      <c r="G55" s="76"/>
      <c r="H55" s="75"/>
      <c r="I55" s="79"/>
      <c r="J55" s="79"/>
      <c r="K55" s="56"/>
      <c r="L55" s="25"/>
      <c r="M55" s="24"/>
      <c r="N55" s="56"/>
      <c r="O55" s="27"/>
    </row>
  </sheetData>
  <mergeCells count="5">
    <mergeCell ref="P2:Q2"/>
    <mergeCell ref="B1:E1"/>
    <mergeCell ref="F1:G1"/>
    <mergeCell ref="M1:O1"/>
    <mergeCell ref="H1:L1"/>
  </mergeCells>
  <pageMargins left="0.7" right="0.7" top="0.75" bottom="0.75" header="0.3" footer="0.3"/>
  <pageSetup paperSize="9" orientation="portrait" r:id="rId1"/>
  <ignoredErrors>
    <ignoredError sqref="I3:I52 L14 L3:O13 L15:O52 M14:O1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8"/>
  <sheetViews>
    <sheetView workbookViewId="0">
      <selection activeCell="H9" sqref="H9"/>
    </sheetView>
  </sheetViews>
  <sheetFormatPr defaultRowHeight="14.4" x14ac:dyDescent="0.3"/>
  <cols>
    <col min="2" max="2" width="23.77734375" customWidth="1"/>
    <col min="3" max="3" width="19.5546875" customWidth="1"/>
  </cols>
  <sheetData>
    <row r="1" spans="1:3" ht="21" x14ac:dyDescent="0.4">
      <c r="A1" s="65" t="s">
        <v>22</v>
      </c>
      <c r="B1" s="66"/>
      <c r="C1" s="9"/>
    </row>
    <row r="2" spans="1:3" ht="21" x14ac:dyDescent="0.4">
      <c r="A2" s="67" t="s">
        <v>23</v>
      </c>
      <c r="B2" s="68"/>
      <c r="C2" s="10"/>
    </row>
    <row r="3" spans="1:3" ht="21" x14ac:dyDescent="0.4">
      <c r="A3" s="67" t="s">
        <v>24</v>
      </c>
      <c r="B3" s="68"/>
      <c r="C3" s="10"/>
    </row>
    <row r="4" spans="1:3" ht="21" x14ac:dyDescent="0.4">
      <c r="A4" s="59" t="s">
        <v>25</v>
      </c>
      <c r="B4" s="60"/>
      <c r="C4" s="10"/>
    </row>
    <row r="5" spans="1:3" ht="21" x14ac:dyDescent="0.4">
      <c r="A5" s="59" t="s">
        <v>26</v>
      </c>
      <c r="B5" s="60"/>
      <c r="C5" s="10"/>
    </row>
    <row r="6" spans="1:3" ht="21" x14ac:dyDescent="0.4">
      <c r="A6" s="63" t="s">
        <v>34</v>
      </c>
      <c r="B6" s="64"/>
      <c r="C6" s="10"/>
    </row>
    <row r="7" spans="1:3" ht="21" x14ac:dyDescent="0.4">
      <c r="A7" s="59" t="s">
        <v>27</v>
      </c>
      <c r="B7" s="60"/>
      <c r="C7" s="10"/>
    </row>
    <row r="8" spans="1:3" ht="21.6" thickBot="1" x14ac:dyDescent="0.45">
      <c r="A8" s="61" t="s">
        <v>28</v>
      </c>
      <c r="B8" s="62"/>
      <c r="C8" s="11"/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N4"/>
  <sheetViews>
    <sheetView tabSelected="1" workbookViewId="0">
      <selection activeCell="A2" sqref="A2"/>
    </sheetView>
  </sheetViews>
  <sheetFormatPr defaultColWidth="9.109375" defaultRowHeight="14.4" x14ac:dyDescent="0.3"/>
  <cols>
    <col min="1" max="6" width="9.109375" style="3"/>
    <col min="7" max="7" width="17" style="3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sortState xmlns:xlrd2="http://schemas.microsoft.com/office/spreadsheetml/2017/richdata2" ref="A5:H833">
    <sortCondition ref="A5"/>
  </sortState>
  <pageMargins left="0.7" right="0.7" top="0.75" bottom="0.75" header="0.3" footer="0.3"/>
  <pageSetup paperSize="9" orientation="portrait" r:id="rId1"/>
  <ignoredErrors>
    <ignoredError sqref="K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N4"/>
  <sheetViews>
    <sheetView workbookViewId="0">
      <selection activeCell="C1" sqref="C1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sortState xmlns:xlrd2="http://schemas.microsoft.com/office/spreadsheetml/2017/richdata2" ref="A5:H876">
    <sortCondition ref="A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sortState xmlns:xlrd2="http://schemas.microsoft.com/office/spreadsheetml/2017/richdata2" ref="A5:B691">
    <sortCondition ref="A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sortState xmlns:xlrd2="http://schemas.microsoft.com/office/spreadsheetml/2017/richdata2" ref="A5:B843">
    <sortCondition ref="A5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sortState xmlns:xlrd2="http://schemas.microsoft.com/office/spreadsheetml/2017/richdata2" ref="A5:C1463">
    <sortCondition ref="A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N4"/>
  <sheetViews>
    <sheetView workbookViewId="0">
      <selection sqref="A1:XFD1048576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N4"/>
  <sheetViews>
    <sheetView workbookViewId="0">
      <selection activeCell="E10" sqref="E10"/>
    </sheetView>
  </sheetViews>
  <sheetFormatPr defaultColWidth="9.109375" defaultRowHeight="14.4" x14ac:dyDescent="0.3"/>
  <cols>
    <col min="1" max="6" width="9.109375" style="3"/>
    <col min="7" max="7" width="17" style="8" bestFit="1" customWidth="1"/>
    <col min="8" max="8" width="17.33203125" style="3" bestFit="1" customWidth="1"/>
    <col min="9" max="16384" width="9.109375" style="3"/>
  </cols>
  <sheetData>
    <row r="1" spans="1:14" x14ac:dyDescent="0.3">
      <c r="A1" s="5" t="s">
        <v>14</v>
      </c>
      <c r="B1" s="5" t="s">
        <v>15</v>
      </c>
      <c r="C1" s="5" t="s">
        <v>29</v>
      </c>
      <c r="D1" s="5" t="s">
        <v>30</v>
      </c>
      <c r="E1" s="5" t="s">
        <v>31</v>
      </c>
      <c r="F1" s="5" t="s">
        <v>32</v>
      </c>
      <c r="G1" s="6" t="s">
        <v>16</v>
      </c>
      <c r="H1" s="5" t="s">
        <v>17</v>
      </c>
      <c r="J1" s="5" t="s">
        <v>13</v>
      </c>
      <c r="K1" s="5"/>
      <c r="L1" s="7"/>
      <c r="M1" s="7">
        <f>Information!C2</f>
        <v>0</v>
      </c>
      <c r="N1" s="5">
        <f>Information!C3</f>
        <v>0</v>
      </c>
    </row>
    <row r="2" spans="1:14" x14ac:dyDescent="0.3">
      <c r="A2" s="3">
        <v>0</v>
      </c>
      <c r="B2" s="3">
        <v>0</v>
      </c>
      <c r="C2" s="3">
        <f t="shared" ref="C2" si="0">B2/2</f>
        <v>0</v>
      </c>
      <c r="D2" s="3">
        <f t="shared" ref="D2" si="1">(B2-(B2*2))/2</f>
        <v>0</v>
      </c>
      <c r="E2" s="3">
        <f t="shared" ref="E2" si="2">G2/2</f>
        <v>0</v>
      </c>
      <c r="F2" s="3">
        <f t="shared" ref="F2" si="3">(G2-(G2*2))/2</f>
        <v>0</v>
      </c>
      <c r="G2" s="8">
        <f>Information!C$4</f>
        <v>0</v>
      </c>
      <c r="H2" s="3">
        <f t="shared" ref="H2" si="4">B2-G2</f>
        <v>0</v>
      </c>
      <c r="J2" s="5" t="s">
        <v>18</v>
      </c>
      <c r="K2" s="3">
        <f>MAX(B2:B2500)</f>
        <v>0</v>
      </c>
    </row>
    <row r="3" spans="1:14" x14ac:dyDescent="0.3">
      <c r="J3" s="5" t="s">
        <v>19</v>
      </c>
      <c r="K3" s="3">
        <f>MIN(B2:B2500)</f>
        <v>0</v>
      </c>
    </row>
    <row r="4" spans="1:14" x14ac:dyDescent="0.3">
      <c r="J4" s="5" t="s">
        <v>20</v>
      </c>
      <c r="K4" s="3">
        <f>AVERAGE(B2:B2500)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006839-D091-4F09-9718-16B24EB9A9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Graphs</vt:lpstr>
      <vt:lpstr>Table</vt:lpstr>
      <vt:lpstr>Information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Borehole Calipering Template</dc:title>
  <dc:creator>Kobus Brits</dc:creator>
  <cp:lastModifiedBy>Kobus Brits</cp:lastModifiedBy>
  <dcterms:created xsi:type="dcterms:W3CDTF">2015-01-23T08:31:23Z</dcterms:created>
  <dcterms:modified xsi:type="dcterms:W3CDTF">2024-10-11T19:10:31Z</dcterms:modified>
</cp:coreProperties>
</file>