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Table" state="visible" r:id="rId5"/>
    <sheet sheetId="3" name="Graphs" state="visible" r:id="rId6"/>
    <sheet sheetId="4" name="Sheet1" state="visible" r:id="rId7"/>
    <sheet sheetId="5" name="Sheet2" state="visible" r:id="rId8"/>
    <sheet sheetId="6" name="Sheet3" state="visible" r:id="rId9"/>
    <sheet sheetId="7" name="Sheet4" state="visible" r:id="rId10"/>
    <sheet sheetId="8" name="Sheet5" state="visible" r:id="rId11"/>
    <sheet sheetId="9" name="Sheet6" state="visible" r:id="rId12"/>
    <sheet sheetId="10" name="Sheet7" state="visible" r:id="rId13"/>
    <sheet sheetId="11" name="Sheet8" state="visible" r:id="rId14"/>
    <sheet sheetId="12" name="Sheet9" state="visible" r:id="rId15"/>
    <sheet sheetId="13" name="Sheet10" state="visible" r:id="rId16"/>
    <sheet sheetId="14" name="Sheet11" state="visible" r:id="rId17"/>
    <sheet sheetId="15" name="Sheet12" state="visible" r:id="rId18"/>
    <sheet sheetId="16" name="Sheet13" state="visible" r:id="rId19"/>
    <sheet sheetId="17" name="Sheet14" state="visible" r:id="rId20"/>
    <sheet sheetId="18" name="Sheet15" state="visible" r:id="rId21"/>
    <sheet sheetId="19" name="Sheet16" state="visible" r:id="rId22"/>
    <sheet sheetId="20" name="Sheet17" state="visible" r:id="rId23"/>
    <sheet sheetId="21" name="Sheet18" state="visible" r:id="rId24"/>
    <sheet sheetId="22" name="Sheet19" state="visible" r:id="rId25"/>
    <sheet sheetId="23" name="Sheet20" state="visible" r:id="rId26"/>
    <sheet sheetId="24" name="Sheet21" state="visible" r:id="rId27"/>
    <sheet sheetId="25" name="Sheet22" state="visible" r:id="rId28"/>
    <sheet sheetId="26" name="Sheet23" state="visible" r:id="rId29"/>
    <sheet sheetId="27" name="Sheet24" state="visible" r:id="rId30"/>
    <sheet sheetId="28" name="Sheet25" state="visible" r:id="rId31"/>
    <sheet sheetId="29" name="Sheet26" state="visible" r:id="rId32"/>
    <sheet sheetId="30" name="Sheet27" state="visible" r:id="rId33"/>
    <sheet sheetId="31" name="Sheet28" state="visible" r:id="rId34"/>
    <sheet sheetId="32" name="Sheet29" state="visible" r:id="rId35"/>
    <sheet sheetId="33" name="Sheet30" state="visible" r:id="rId36"/>
    <sheet sheetId="34" name="Sheet31" state="visible" r:id="rId37"/>
    <sheet sheetId="35" name="Sheet32" state="visible" r:id="rId38"/>
    <sheet sheetId="36" name="Sheet33" state="visible" r:id="rId39"/>
    <sheet sheetId="37" name="Sheet34" state="visible" r:id="rId40"/>
    <sheet sheetId="38" name="Sheet35" state="visible" r:id="rId41"/>
    <sheet sheetId="39" name="Sheet36" state="visible" r:id="rId42"/>
    <sheet sheetId="40" name="Sheet37" state="visible" r:id="rId43"/>
    <sheet sheetId="41" name="Sheet38" state="visible" r:id="rId44"/>
    <sheet sheetId="42" name="Sheet39" state="visible" r:id="rId45"/>
    <sheet sheetId="43" name="Sheet40" state="visible" r:id="rId46"/>
    <sheet sheetId="44" name="Sheet41" state="visible" r:id="rId47"/>
    <sheet sheetId="45" name="Sheet42" state="visible" r:id="rId48"/>
    <sheet sheetId="46" name="Sheet43" state="visible" r:id="rId49"/>
    <sheet sheetId="47" name="Sheet44" state="visible" r:id="rId50"/>
    <sheet sheetId="48" name="Sheet45" state="visible" r:id="rId51"/>
    <sheet sheetId="49" name="Sheet46" state="visible" r:id="rId52"/>
    <sheet sheetId="50" name="Sheet47" state="visible" r:id="rId53"/>
    <sheet sheetId="51" name="Sheet48" state="visible" r:id="rId54"/>
    <sheet sheetId="52" name="Sheet49" state="visible" r:id="rId55"/>
    <sheet sheetId="53" name="Sheet50" state="visible" r:id="rId56"/>
  </sheets>
  <calcPr calcId="171027"/>
</workbook>
</file>

<file path=xl/sharedStrings.xml><?xml version="1.0" encoding="utf-8"?>
<sst xmlns="http://schemas.openxmlformats.org/spreadsheetml/2006/main" count="528" uniqueCount="135">
  <si>
    <t>Client:</t>
  </si>
  <si>
    <t>Mine:</t>
  </si>
  <si>
    <t>Block ID:</t>
  </si>
  <si>
    <t>Planned Hole Diameter (mm):</t>
  </si>
  <si>
    <t>Final Stemming (m):</t>
  </si>
  <si>
    <t>Average In-Hole Density (g/cc):</t>
  </si>
  <si>
    <t>Rig Operator:</t>
  </si>
  <si>
    <t>Date of Calipering:</t>
  </si>
  <si>
    <t>BME Borehole Tracking Summary Table</t>
  </si>
  <si>
    <t>Hole Name</t>
  </si>
  <si>
    <t>Depth (m)</t>
  </si>
  <si>
    <t>Mean Diam</t>
  </si>
  <si>
    <t>Min Diam</t>
  </si>
  <si>
    <t>Max Diam</t>
  </si>
  <si>
    <t>Planned Diam</t>
  </si>
  <si>
    <t>Overbreak %</t>
  </si>
  <si>
    <t>Min Dev</t>
  </si>
  <si>
    <t>Mean Dev</t>
  </si>
  <si>
    <t>Max Dev</t>
  </si>
  <si>
    <t>Stemming (m)</t>
  </si>
  <si>
    <t>Exp Depth (m)</t>
  </si>
  <si>
    <t>Density</t>
  </si>
  <si>
    <t>Exp Mass (kg)</t>
  </si>
  <si>
    <t>Theo Mass (kg)</t>
  </si>
  <si>
    <t>BH_001</t>
  </si>
  <si>
    <t>BH_002</t>
  </si>
  <si>
    <t>BH_003</t>
  </si>
  <si>
    <t>BH_004</t>
  </si>
  <si>
    <t>BH_005</t>
  </si>
  <si>
    <t>BH_006</t>
  </si>
  <si>
    <t>BH_007</t>
  </si>
  <si>
    <t>BH_008</t>
  </si>
  <si>
    <t>BH_009</t>
  </si>
  <si>
    <t>BH_010</t>
  </si>
  <si>
    <t>BH_011</t>
  </si>
  <si>
    <t>BH_012</t>
  </si>
  <si>
    <t>BH_013</t>
  </si>
  <si>
    <t>BH_014</t>
  </si>
  <si>
    <t>BH_015</t>
  </si>
  <si>
    <t>BH_016</t>
  </si>
  <si>
    <t>BH_017</t>
  </si>
  <si>
    <t>BH_018</t>
  </si>
  <si>
    <t>BH_019</t>
  </si>
  <si>
    <t>BH_020</t>
  </si>
  <si>
    <t>BH_021</t>
  </si>
  <si>
    <t>BH_022</t>
  </si>
  <si>
    <t>BH_023</t>
  </si>
  <si>
    <t>BH_024</t>
  </si>
  <si>
    <t>BH_025</t>
  </si>
  <si>
    <t>BH_026</t>
  </si>
  <si>
    <t>BH_027</t>
  </si>
  <si>
    <t>BH_028</t>
  </si>
  <si>
    <t>BH_029</t>
  </si>
  <si>
    <t>BH_030</t>
  </si>
  <si>
    <t>BH_031</t>
  </si>
  <si>
    <t>BH_032</t>
  </si>
  <si>
    <t>BH_033</t>
  </si>
  <si>
    <t>BH_034</t>
  </si>
  <si>
    <t>BH_035</t>
  </si>
  <si>
    <t>BH_036</t>
  </si>
  <si>
    <t>BH_037</t>
  </si>
  <si>
    <t>BH_038</t>
  </si>
  <si>
    <t>BH_039</t>
  </si>
  <si>
    <t>BH_040</t>
  </si>
  <si>
    <t>BH_041</t>
  </si>
  <si>
    <t>BH_042</t>
  </si>
  <si>
    <t>BH_043</t>
  </si>
  <si>
    <t>BH_044</t>
  </si>
  <si>
    <t>BH_045</t>
  </si>
  <si>
    <t>BH_046</t>
  </si>
  <si>
    <t>BH_047</t>
  </si>
  <si>
    <t>BH_048</t>
  </si>
  <si>
    <t>BH_049</t>
  </si>
  <si>
    <t>BH_050</t>
  </si>
  <si>
    <t>Minimum</t>
  </si>
  <si>
    <t>Average</t>
  </si>
  <si>
    <t>Maximum</t>
  </si>
  <si>
    <t>Borehole Caliper Graphs &amp; Plots</t>
  </si>
  <si>
    <t>Depth</t>
  </si>
  <si>
    <t>Diameter</t>
  </si>
  <si>
    <t>Radius</t>
  </si>
  <si>
    <t>-Radius</t>
  </si>
  <si>
    <t>Planned Rad</t>
  </si>
  <si>
    <t>-Planned Rad</t>
  </si>
  <si>
    <t>Difference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</si>
  <si>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</si>
  <si>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</si>
  <si>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</si>
  <si>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</si>
  <si>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</si>
  <si>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</si>
  <si>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</si>
  <si>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</si>
  <si>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</si>
  <si>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</si>
  <si>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</si>
  <si>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</si>
  <si>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</si>
  <si>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</si>
  <si>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</si>
  <si>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</si>
  <si>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</si>
  <si>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</si>
  <si>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Hole_19</t>
  </si>
  <si>
    <t>Hole_20</t>
  </si>
  <si>
    <t>Hole_21</t>
  </si>
  <si>
    <t>Hole_22</t>
  </si>
  <si>
    <t>Hole_23</t>
  </si>
  <si>
    <t>Hole_24</t>
  </si>
  <si>
    <t>Hole_25</t>
  </si>
  <si>
    <t>Hole_26</t>
  </si>
  <si>
    <t>Hole_27</t>
  </si>
  <si>
    <t>Hole_28</t>
  </si>
  <si>
    <t>Hole_29</t>
  </si>
  <si>
    <t>Hole_30</t>
  </si>
  <si>
    <t>Hole_31</t>
  </si>
  <si>
    <t>Hole_32</t>
  </si>
  <si>
    <t>Hole_33</t>
  </si>
  <si>
    <t>Hole_34</t>
  </si>
  <si>
    <t>Hole_35</t>
  </si>
  <si>
    <t>Hole_36</t>
  </si>
  <si>
    <t>Hole_37</t>
  </si>
  <si>
    <t>Hole_38</t>
  </si>
  <si>
    <t>Hole_39</t>
  </si>
  <si>
    <t>Hole_40</t>
  </si>
  <si>
    <t>Hole_41</t>
  </si>
  <si>
    <t>Hole_42</t>
  </si>
  <si>
    <t>Hole_43</t>
  </si>
  <si>
    <t>Hole_44</t>
  </si>
  <si>
    <t>Hole_45</t>
  </si>
  <si>
    <t>Hole_46</t>
  </si>
  <si>
    <t>Hole_47</t>
  </si>
  <si>
    <t>Hole_48</t>
  </si>
  <si>
    <t>Hole_49</t>
  </si>
  <si>
    <t>Hole_50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</si>
</sst>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293B"/>
    </font>
    <font>
      <b/>
      <color rgb="FF0F172A"/>
      <sz val="14"/>
    </font>
    <font>
      <b/>
      <color rgb="FFFFFFFF"/>
    </font>
    <font>
      <b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4" fillId="4" borderId="0" xfId="0" applyFont="1" applyFill="1"/>
    <xf numFmtId="0" fontId="5" fillId="0" borderId="0" xfId="0" applyFont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3" width="28" customWidth="1"/>
    <col min="4" max="4" width="15" customWidth="1"/>
  </cols>
  <sheetData>
    <row r="1" spans="2:3" x14ac:dyDescent="0.25">
      <c r="B1" s="1" t="s">
        <v>0</v>
      </c>
      <c r="C1" s="2"/>
    </row>
    <row r="2" spans="2:3" x14ac:dyDescent="0.25">
      <c r="B2" s="1" t="s">
        <v>1</v>
      </c>
      <c r="C2" s="2"/>
    </row>
    <row r="3" spans="2:3" x14ac:dyDescent="0.25">
      <c r="B3" s="1" t="s">
        <v>2</v>
      </c>
      <c r="C3" s="2"/>
    </row>
    <row r="4" spans="2:3" x14ac:dyDescent="0.25">
      <c r="B4" s="1" t="s">
        <v>3</v>
      </c>
      <c r="C4" s="3">
        <v>165</v>
      </c>
    </row>
    <row r="5" spans="2:3" x14ac:dyDescent="0.25">
      <c r="B5" s="1" t="s">
        <v>4</v>
      </c>
      <c r="C5" s="3">
        <v>1</v>
      </c>
    </row>
    <row r="6" spans="2:3" x14ac:dyDescent="0.25">
      <c r="B6" s="1" t="s">
        <v>5</v>
      </c>
      <c r="C6" s="3">
        <v>1.2</v>
      </c>
    </row>
    <row r="7" spans="2:3" x14ac:dyDescent="0.25">
      <c r="B7" s="1" t="s">
        <v>6</v>
      </c>
      <c r="C7" s="2"/>
    </row>
    <row r="8" spans="2:3" x14ac:dyDescent="0.25">
      <c r="B8" s="1" t="s">
        <v>7</v>
      </c>
      <c r="C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/>
  </sheetViews>
  <sheetFormatPr defaultRowHeight="15" outlineLevelRow="0" outlineLevelCol="0" x14ac:dyDescent="55"/>
  <cols>
    <col min="1" max="1" width="22" customWidth="1"/>
    <col min="2" max="15" width="14" customWidth="1"/>
  </cols>
  <sheetData>
    <row r="1" spans="1:1" x14ac:dyDescent="0.25">
      <c r="A1" s="4" t="s">
        <v>8</v>
      </c>
    </row>
    <row r="2" spans="1:15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</row>
    <row r="3" spans="1:15" x14ac:dyDescent="0.25">
      <c r="A3" t="s">
        <v>24</v>
      </c>
      <c r="B3">
        <f>=IF(ISREF(Sheet1!A2),MAX(Sheet1!A:A),"")</f>
      </c>
      <c r="C3">
        <f>=IF(ISREF(Sheet1!B2),AVERAGE(Sheet1!B:B),"")</f>
      </c>
      <c r="D3">
        <f>=IF(ISREF(Sheet1!B2),MIN(Sheet1!B:B),"")</f>
      </c>
      <c r="E3">
        <f>=IF(ISREF(Sheet1!B2),MAX(Sheet1!B:B),"")</f>
      </c>
      <c r="F3">
        <f>=Information!C</f>
      </c>
      <c r="G3">
        <f>=IF(C3&gt;0,((C3-F3)/F3)*100,"")</f>
      </c>
      <c r="H3">
        <f>=IF(D3&gt;0,D3-F3,"")</f>
      </c>
      <c r="I3">
        <f>=IF(C3&gt;0,C3-F3,"")</f>
      </c>
      <c r="J3">
        <f>=IF(E3&gt;0,E3-F3,"")</f>
      </c>
      <c r="K3">
        <f>=Information!C</f>
      </c>
      <c r="L3">
        <f>=IF(B3&gt;K3,B3-K3,0)</f>
      </c>
      <c r="M3">
        <f>=Information!C</f>
      </c>
      <c r="N3">
        <f>=IF(L3&gt;0,PI()*((C3/2000)^2)*L3*M3*1000,"")</f>
      </c>
      <c r="O3">
        <f>=IF(L3&gt;0,PI()*((F3/2000)^2)*L3*M3*1000,"")</f>
      </c>
    </row>
    <row r="4" spans="1:15" x14ac:dyDescent="0.25">
      <c r="A4" t="s">
        <v>25</v>
      </c>
      <c r="B4">
        <f>=IF(ISREF(Sheet2!A2),MAX(Sheet2!A:A),"")</f>
      </c>
      <c r="C4">
        <f>=IF(ISREF(Sheet2!B2),AVERAGE(Sheet2!B:B),"")</f>
      </c>
      <c r="D4">
        <f>=IF(ISREF(Sheet2!B2),MIN(Sheet2!B:B),"")</f>
      </c>
      <c r="E4">
        <f>=IF(ISREF(Sheet2!B2),MAX(Sheet2!B:B),"")</f>
      </c>
      <c r="F4">
        <f>=Information!C</f>
      </c>
      <c r="G4">
        <f>=IF(C4&gt;0,((C4-F4)/F4)*100,"")</f>
      </c>
      <c r="H4">
        <f>=IF(D4&gt;0,D4-F4,"")</f>
      </c>
      <c r="I4">
        <f>=IF(C4&gt;0,C4-F4,"")</f>
      </c>
      <c r="J4">
        <f>=IF(E4&gt;0,E4-F4,"")</f>
      </c>
      <c r="K4">
        <f>=Information!C</f>
      </c>
      <c r="L4">
        <f>=IF(B4&gt;K4,B4-K4,0)</f>
      </c>
      <c r="M4">
        <f>=Information!C</f>
      </c>
      <c r="N4">
        <f>=IF(L4&gt;0,PI()*((C4/2000)^2)*L4*M4*1000,"")</f>
      </c>
      <c r="O4">
        <f>=IF(L4&gt;0,PI()*((F4/2000)^2)*L4*M4*1000,"")</f>
      </c>
    </row>
    <row r="5" spans="1:15" x14ac:dyDescent="0.25">
      <c r="A5" t="s">
        <v>26</v>
      </c>
      <c r="B5">
        <f>=IF(ISREF(Sheet3!A2),MAX(Sheet3!A:A),"")</f>
      </c>
      <c r="C5">
        <f>=IF(ISREF(Sheet3!B2),AVERAGE(Sheet3!B:B),"")</f>
      </c>
      <c r="D5">
        <f>=IF(ISREF(Sheet3!B2),MIN(Sheet3!B:B),"")</f>
      </c>
      <c r="E5">
        <f>=IF(ISREF(Sheet3!B2),MAX(Sheet3!B:B),"")</f>
      </c>
      <c r="F5">
        <f>=Information!C</f>
      </c>
      <c r="G5">
        <f>=IF(C5&gt;0,((C5-F5)/F5)*100,"")</f>
      </c>
      <c r="H5">
        <f>=IF(D5&gt;0,D5-F5,"")</f>
      </c>
      <c r="I5">
        <f>=IF(C5&gt;0,C5-F5,"")</f>
      </c>
      <c r="J5">
        <f>=IF(E5&gt;0,E5-F5,"")</f>
      </c>
      <c r="K5">
        <f>=Information!C</f>
      </c>
      <c r="L5">
        <f>=IF(B5&gt;K5,B5-K5,0)</f>
      </c>
      <c r="M5">
        <f>=Information!C</f>
      </c>
      <c r="N5">
        <f>=IF(L5&gt;0,PI()*((C5/2000)^2)*L5*M5*1000,"")</f>
      </c>
      <c r="O5">
        <f>=IF(L5&gt;0,PI()*((F5/2000)^2)*L5*M5*1000,"")</f>
      </c>
    </row>
    <row r="6" spans="1:15" x14ac:dyDescent="0.25">
      <c r="A6" t="s">
        <v>27</v>
      </c>
      <c r="B6">
        <f>=IF(ISREF(Sheet4!A2),MAX(Sheet4!A:A),"")</f>
      </c>
      <c r="C6">
        <f>=IF(ISREF(Sheet4!B2),AVERAGE(Sheet4!B:B),"")</f>
      </c>
      <c r="D6">
        <f>=IF(ISREF(Sheet4!B2),MIN(Sheet4!B:B),"")</f>
      </c>
      <c r="E6">
        <f>=IF(ISREF(Sheet4!B2),MAX(Sheet4!B:B),"")</f>
      </c>
      <c r="F6">
        <f>=Information!C</f>
      </c>
      <c r="G6">
        <f>=IF(C6&gt;0,((C6-F6)/F6)*100,"")</f>
      </c>
      <c r="H6">
        <f>=IF(D6&gt;0,D6-F6,"")</f>
      </c>
      <c r="I6">
        <f>=IF(C6&gt;0,C6-F6,"")</f>
      </c>
      <c r="J6">
        <f>=IF(E6&gt;0,E6-F6,"")</f>
      </c>
      <c r="K6">
        <f>=Information!C</f>
      </c>
      <c r="L6">
        <f>=IF(B6&gt;K6,B6-K6,0)</f>
      </c>
      <c r="M6">
        <f>=Information!C</f>
      </c>
      <c r="N6">
        <f>=IF(L6&gt;0,PI()*((C6/2000)^2)*L6*M6*1000,"")</f>
      </c>
      <c r="O6">
        <f>=IF(L6&gt;0,PI()*((F6/2000)^2)*L6*M6*1000,"")</f>
      </c>
    </row>
    <row r="7" spans="1:15" x14ac:dyDescent="0.25">
      <c r="A7" t="s">
        <v>28</v>
      </c>
      <c r="B7">
        <f>=IF(ISREF(Sheet5!A2),MAX(Sheet5!A:A),"")</f>
      </c>
      <c r="C7">
        <f>=IF(ISREF(Sheet5!B2),AVERAGE(Sheet5!B:B),"")</f>
      </c>
      <c r="D7">
        <f>=IF(ISREF(Sheet5!B2),MIN(Sheet5!B:B),"")</f>
      </c>
      <c r="E7">
        <f>=IF(ISREF(Sheet5!B2),MAX(Sheet5!B:B),"")</f>
      </c>
      <c r="F7">
        <f>=Information!C</f>
      </c>
      <c r="G7">
        <f>=IF(C7&gt;0,((C7-F7)/F7)*100,"")</f>
      </c>
      <c r="H7">
        <f>=IF(D7&gt;0,D7-F7,"")</f>
      </c>
      <c r="I7">
        <f>=IF(C7&gt;0,C7-F7,"")</f>
      </c>
      <c r="J7">
        <f>=IF(E7&gt;0,E7-F7,"")</f>
      </c>
      <c r="K7">
        <f>=Information!C</f>
      </c>
      <c r="L7">
        <f>=IF(B7&gt;K7,B7-K7,0)</f>
      </c>
      <c r="M7">
        <f>=Information!C</f>
      </c>
      <c r="N7">
        <f>=IF(L7&gt;0,PI()*((C7/2000)^2)*L7*M7*1000,"")</f>
      </c>
      <c r="O7">
        <f>=IF(L7&gt;0,PI()*((F7/2000)^2)*L7*M7*1000,"")</f>
      </c>
    </row>
    <row r="8" spans="1:15" x14ac:dyDescent="0.25">
      <c r="A8" t="s">
        <v>29</v>
      </c>
      <c r="B8">
        <f>=IF(ISREF(Sheet6!A2),MAX(Sheet6!A:A),"")</f>
      </c>
      <c r="C8">
        <f>=IF(ISREF(Sheet6!B2),AVERAGE(Sheet6!B:B),"")</f>
      </c>
      <c r="D8">
        <f>=IF(ISREF(Sheet6!B2),MIN(Sheet6!B:B),"")</f>
      </c>
      <c r="E8">
        <f>=IF(ISREF(Sheet6!B2),MAX(Sheet6!B:B),"")</f>
      </c>
      <c r="F8">
        <f>=Information!C</f>
      </c>
      <c r="G8">
        <f>=IF(C8&gt;0,((C8-F8)/F8)*100,"")</f>
      </c>
      <c r="H8">
        <f>=IF(D8&gt;0,D8-F8,"")</f>
      </c>
      <c r="I8">
        <f>=IF(C8&gt;0,C8-F8,"")</f>
      </c>
      <c r="J8">
        <f>=IF(E8&gt;0,E8-F8,"")</f>
      </c>
      <c r="K8">
        <f>=Information!C</f>
      </c>
      <c r="L8">
        <f>=IF(B8&gt;K8,B8-K8,0)</f>
      </c>
      <c r="M8">
        <f>=Information!C</f>
      </c>
      <c r="N8">
        <f>=IF(L8&gt;0,PI()*((C8/2000)^2)*L8*M8*1000,"")</f>
      </c>
      <c r="O8">
        <f>=IF(L8&gt;0,PI()*((F8/2000)^2)*L8*M8*1000,"")</f>
      </c>
    </row>
    <row r="9" spans="1:15" x14ac:dyDescent="0.25">
      <c r="A9" t="s">
        <v>30</v>
      </c>
      <c r="B9">
        <f>=IF(ISREF(Sheet7!A2),MAX(Sheet7!A:A),"")</f>
      </c>
      <c r="C9">
        <f>=IF(ISREF(Sheet7!B2),AVERAGE(Sheet7!B:B),"")</f>
      </c>
      <c r="D9">
        <f>=IF(ISREF(Sheet7!B2),MIN(Sheet7!B:B),"")</f>
      </c>
      <c r="E9">
        <f>=IF(ISREF(Sheet7!B2),MAX(Sheet7!B:B),"")</f>
      </c>
      <c r="F9">
        <f>=Information!C</f>
      </c>
      <c r="G9">
        <f>=IF(C9&gt;0,((C9-F9)/F9)*100,"")</f>
      </c>
      <c r="H9">
        <f>=IF(D9&gt;0,D9-F9,"")</f>
      </c>
      <c r="I9">
        <f>=IF(C9&gt;0,C9-F9,"")</f>
      </c>
      <c r="J9">
        <f>=IF(E9&gt;0,E9-F9,"")</f>
      </c>
      <c r="K9">
        <f>=Information!C</f>
      </c>
      <c r="L9">
        <f>=IF(B9&gt;K9,B9-K9,0)</f>
      </c>
      <c r="M9">
        <f>=Information!C</f>
      </c>
      <c r="N9">
        <f>=IF(L9&gt;0,PI()*((C9/2000)^2)*L9*M9*1000,"")</f>
      </c>
      <c r="O9">
        <f>=IF(L9&gt;0,PI()*((F9/2000)^2)*L9*M9*1000,"")</f>
      </c>
    </row>
    <row r="10" spans="1:15" x14ac:dyDescent="0.25">
      <c r="A10" t="s">
        <v>31</v>
      </c>
      <c r="B10">
        <f>=IF(ISREF(Sheet8!A2),MAX(Sheet8!A:A),"")</f>
      </c>
      <c r="C10">
        <f>=IF(ISREF(Sheet8!B2),AVERAGE(Sheet8!B:B),"")</f>
      </c>
      <c r="D10">
        <f>=IF(ISREF(Sheet8!B2),MIN(Sheet8!B:B),"")</f>
      </c>
      <c r="E10">
        <f>=IF(ISREF(Sheet8!B2),MAX(Sheet8!B:B),"")</f>
      </c>
      <c r="F10">
        <f>=Information!C</f>
      </c>
      <c r="G10">
        <f>=IF(C10&gt;0,((C10-F10)/F10)*100,"")</f>
      </c>
      <c r="H10">
        <f>=IF(D10&gt;0,D10-F10,"")</f>
      </c>
      <c r="I10">
        <f>=IF(C10&gt;0,C10-F10,"")</f>
      </c>
      <c r="J10">
        <f>=IF(E10&gt;0,E10-F10,"")</f>
      </c>
      <c r="K10">
        <f>=Information!C</f>
      </c>
      <c r="L10">
        <f>=IF(B10&gt;K10,B10-K10,0)</f>
      </c>
      <c r="M10">
        <f>=Information!C</f>
      </c>
      <c r="N10">
        <f>=IF(L10&gt;0,PI()*((C10/2000)^2)*L10*M10*1000,"")</f>
      </c>
      <c r="O10">
        <f>=IF(L10&gt;0,PI()*((F10/2000)^2)*L10*M10*1000,"")</f>
      </c>
    </row>
    <row r="11" spans="1:15" x14ac:dyDescent="0.25">
      <c r="A11" t="s">
        <v>32</v>
      </c>
      <c r="B11">
        <f>=IF(ISREF(Sheet9!A2),MAX(Sheet9!A:A),"")</f>
      </c>
      <c r="C11">
        <f>=IF(ISREF(Sheet9!B2),AVERAGE(Sheet9!B:B),"")</f>
      </c>
      <c r="D11">
        <f>=IF(ISREF(Sheet9!B2),MIN(Sheet9!B:B),"")</f>
      </c>
      <c r="E11">
        <f>=IF(ISREF(Sheet9!B2),MAX(Sheet9!B:B),"")</f>
      </c>
      <c r="F11">
        <f>=Information!C</f>
      </c>
      <c r="G11">
        <f>=IF(C11&gt;0,((C11-F11)/F11)*100,"")</f>
      </c>
      <c r="H11">
        <f>=IF(D11&gt;0,D11-F11,"")</f>
      </c>
      <c r="I11">
        <f>=IF(C11&gt;0,C11-F11,"")</f>
      </c>
      <c r="J11">
        <f>=IF(E11&gt;0,E11-F11,"")</f>
      </c>
      <c r="K11">
        <f>=Information!C</f>
      </c>
      <c r="L11">
        <f>=IF(B11&gt;K11,B11-K11,0)</f>
      </c>
      <c r="M11">
        <f>=Information!C</f>
      </c>
      <c r="N11">
        <f>=IF(L11&gt;0,PI()*((C11/2000)^2)*L11*M11*1000,"")</f>
      </c>
      <c r="O11">
        <f>=IF(L11&gt;0,PI()*((F11/2000)^2)*L11*M11*1000,"")</f>
      </c>
    </row>
    <row r="12" spans="1:15" x14ac:dyDescent="0.25">
      <c r="A12" t="s">
        <v>33</v>
      </c>
      <c r="B12">
        <f>=IF(ISREF(Sheet10!A2),MAX(Sheet10!A:A),"")</f>
      </c>
      <c r="C12">
        <f>=IF(ISREF(Sheet10!B2),AVERAGE(Sheet10!B:B),"")</f>
      </c>
      <c r="D12">
        <f>=IF(ISREF(Sheet10!B2),MIN(Sheet10!B:B),"")</f>
      </c>
      <c r="E12">
        <f>=IF(ISREF(Sheet10!B2),MAX(Sheet10!B:B),"")</f>
      </c>
      <c r="F12">
        <f>=Information!C</f>
      </c>
      <c r="G12">
        <f>=IF(C12&gt;0,((C12-F12)/F12)*100,"")</f>
      </c>
      <c r="H12">
        <f>=IF(D12&gt;0,D12-F12,"")</f>
      </c>
      <c r="I12">
        <f>=IF(C12&gt;0,C12-F12,"")</f>
      </c>
      <c r="J12">
        <f>=IF(E12&gt;0,E12-F12,"")</f>
      </c>
      <c r="K12">
        <f>=Information!C</f>
      </c>
      <c r="L12">
        <f>=IF(B12&gt;K12,B12-K12,0)</f>
      </c>
      <c r="M12">
        <f>=Information!C</f>
      </c>
      <c r="N12">
        <f>=IF(L12&gt;0,PI()*((C12/2000)^2)*L12*M12*1000,"")</f>
      </c>
      <c r="O12">
        <f>=IF(L12&gt;0,PI()*((F12/2000)^2)*L12*M12*1000,"")</f>
      </c>
    </row>
    <row r="13" spans="1:15" x14ac:dyDescent="0.25">
      <c r="A13" t="s">
        <v>34</v>
      </c>
      <c r="B13">
        <f>=IF(ISREF(Sheet11!A2),MAX(Sheet11!A:A),"")</f>
      </c>
      <c r="C13">
        <f>=IF(ISREF(Sheet11!B2),AVERAGE(Sheet11!B:B),"")</f>
      </c>
      <c r="D13">
        <f>=IF(ISREF(Sheet11!B2),MIN(Sheet11!B:B),"")</f>
      </c>
      <c r="E13">
        <f>=IF(ISREF(Sheet11!B2),MAX(Sheet11!B:B),"")</f>
      </c>
      <c r="F13">
        <f>=Information!C</f>
      </c>
      <c r="G13">
        <f>=IF(C13&gt;0,((C13-F13)/F13)*100,"")</f>
      </c>
      <c r="H13">
        <f>=IF(D13&gt;0,D13-F13,"")</f>
      </c>
      <c r="I13">
        <f>=IF(C13&gt;0,C13-F13,"")</f>
      </c>
      <c r="J13">
        <f>=IF(E13&gt;0,E13-F13,"")</f>
      </c>
      <c r="K13">
        <f>=Information!C</f>
      </c>
      <c r="L13">
        <f>=IF(B13&gt;K13,B13-K13,0)</f>
      </c>
      <c r="M13">
        <f>=Information!C</f>
      </c>
      <c r="N13">
        <f>=IF(L13&gt;0,PI()*((C13/2000)^2)*L13*M13*1000,"")</f>
      </c>
      <c r="O13">
        <f>=IF(L13&gt;0,PI()*((F13/2000)^2)*L13*M13*1000,"")</f>
      </c>
    </row>
    <row r="14" spans="1:15" x14ac:dyDescent="0.25">
      <c r="A14" t="s">
        <v>35</v>
      </c>
      <c r="B14">
        <f>=IF(ISREF(Sheet12!A2),MAX(Sheet12!A:A),"")</f>
      </c>
      <c r="C14">
        <f>=IF(ISREF(Sheet12!B2),AVERAGE(Sheet12!B:B),"")</f>
      </c>
      <c r="D14">
        <f>=IF(ISREF(Sheet12!B2),MIN(Sheet12!B:B),"")</f>
      </c>
      <c r="E14">
        <f>=IF(ISREF(Sheet12!B2),MAX(Sheet12!B:B),"")</f>
      </c>
      <c r="F14">
        <f>=Information!C</f>
      </c>
      <c r="G14">
        <f>=IF(C14&gt;0,((C14-F14)/F14)*100,"")</f>
      </c>
      <c r="H14">
        <f>=IF(D14&gt;0,D14-F14,"")</f>
      </c>
      <c r="I14">
        <f>=IF(C14&gt;0,C14-F14,"")</f>
      </c>
      <c r="J14">
        <f>=IF(E14&gt;0,E14-F14,"")</f>
      </c>
      <c r="K14">
        <f>=Information!C</f>
      </c>
      <c r="L14">
        <f>=IF(B14&gt;K14,B14-K14,0)</f>
      </c>
      <c r="M14">
        <f>=Information!C</f>
      </c>
      <c r="N14">
        <f>=IF(L14&gt;0,PI()*((C14/2000)^2)*L14*M14*1000,"")</f>
      </c>
      <c r="O14">
        <f>=IF(L14&gt;0,PI()*((F14/2000)^2)*L14*M14*1000,"")</f>
      </c>
    </row>
    <row r="15" spans="1:15" x14ac:dyDescent="0.25">
      <c r="A15" t="s">
        <v>36</v>
      </c>
      <c r="B15">
        <f>=IF(ISREF(Sheet13!A2),MAX(Sheet13!A:A),"")</f>
      </c>
      <c r="C15">
        <f>=IF(ISREF(Sheet13!B2),AVERAGE(Sheet13!B:B),"")</f>
      </c>
      <c r="D15">
        <f>=IF(ISREF(Sheet13!B2),MIN(Sheet13!B:B),"")</f>
      </c>
      <c r="E15">
        <f>=IF(ISREF(Sheet13!B2),MAX(Sheet13!B:B),"")</f>
      </c>
      <c r="F15">
        <f>=Information!C</f>
      </c>
      <c r="G15">
        <f>=IF(C15&gt;0,((C15-F15)/F15)*100,"")</f>
      </c>
      <c r="H15">
        <f>=IF(D15&gt;0,D15-F15,"")</f>
      </c>
      <c r="I15">
        <f>=IF(C15&gt;0,C15-F15,"")</f>
      </c>
      <c r="J15">
        <f>=IF(E15&gt;0,E15-F15,"")</f>
      </c>
      <c r="K15">
        <f>=Information!C</f>
      </c>
      <c r="L15">
        <f>=IF(B15&gt;K15,B15-K15,0)</f>
      </c>
      <c r="M15">
        <f>=Information!C</f>
      </c>
      <c r="N15">
        <f>=IF(L15&gt;0,PI()*((C15/2000)^2)*L15*M15*1000,"")</f>
      </c>
      <c r="O15">
        <f>=IF(L15&gt;0,PI()*((F15/2000)^2)*L15*M15*1000,"")</f>
      </c>
    </row>
    <row r="16" spans="1:15" x14ac:dyDescent="0.25">
      <c r="A16" t="s">
        <v>37</v>
      </c>
      <c r="B16">
        <f>=IF(ISREF(Sheet14!A2),MAX(Sheet14!A:A),"")</f>
      </c>
      <c r="C16">
        <f>=IF(ISREF(Sheet14!B2),AVERAGE(Sheet14!B:B),"")</f>
      </c>
      <c r="D16">
        <f>=IF(ISREF(Sheet14!B2),MIN(Sheet14!B:B),"")</f>
      </c>
      <c r="E16">
        <f>=IF(ISREF(Sheet14!B2),MAX(Sheet14!B:B),"")</f>
      </c>
      <c r="F16">
        <f>=Information!C</f>
      </c>
      <c r="G16">
        <f>=IF(C16&gt;0,((C16-F16)/F16)*100,"")</f>
      </c>
      <c r="H16">
        <f>=IF(D16&gt;0,D16-F16,"")</f>
      </c>
      <c r="I16">
        <f>=IF(C16&gt;0,C16-F16,"")</f>
      </c>
      <c r="J16">
        <f>=IF(E16&gt;0,E16-F16,"")</f>
      </c>
      <c r="K16">
        <f>=Information!C</f>
      </c>
      <c r="L16">
        <f>=IF(B16&gt;K16,B16-K16,0)</f>
      </c>
      <c r="M16">
        <f>=Information!C</f>
      </c>
      <c r="N16">
        <f>=IF(L16&gt;0,PI()*((C16/2000)^2)*L16*M16*1000,"")</f>
      </c>
      <c r="O16">
        <f>=IF(L16&gt;0,PI()*((F16/2000)^2)*L16*M16*1000,"")</f>
      </c>
    </row>
    <row r="17" spans="1:15" x14ac:dyDescent="0.25">
      <c r="A17" t="s">
        <v>38</v>
      </c>
      <c r="B17">
        <f>=IF(ISREF(Sheet15!A2),MAX(Sheet15!A:A),"")</f>
      </c>
      <c r="C17">
        <f>=IF(ISREF(Sheet15!B2),AVERAGE(Sheet15!B:B),"")</f>
      </c>
      <c r="D17">
        <f>=IF(ISREF(Sheet15!B2),MIN(Sheet15!B:B),"")</f>
      </c>
      <c r="E17">
        <f>=IF(ISREF(Sheet15!B2),MAX(Sheet15!B:B),"")</f>
      </c>
      <c r="F17">
        <f>=Information!C</f>
      </c>
      <c r="G17">
        <f>=IF(C17&gt;0,((C17-F17)/F17)*100,"")</f>
      </c>
      <c r="H17">
        <f>=IF(D17&gt;0,D17-F17,"")</f>
      </c>
      <c r="I17">
        <f>=IF(C17&gt;0,C17-F17,"")</f>
      </c>
      <c r="J17">
        <f>=IF(E17&gt;0,E17-F17,"")</f>
      </c>
      <c r="K17">
        <f>=Information!C</f>
      </c>
      <c r="L17">
        <f>=IF(B17&gt;K17,B17-K17,0)</f>
      </c>
      <c r="M17">
        <f>=Information!C</f>
      </c>
      <c r="N17">
        <f>=IF(L17&gt;0,PI()*((C17/2000)^2)*L17*M17*1000,"")</f>
      </c>
      <c r="O17">
        <f>=IF(L17&gt;0,PI()*((F17/2000)^2)*L17*M17*1000,"")</f>
      </c>
    </row>
    <row r="18" spans="1:15" x14ac:dyDescent="0.25">
      <c r="A18" t="s">
        <v>39</v>
      </c>
      <c r="B18">
        <f>=IF(ISREF(Sheet16!A2),MAX(Sheet16!A:A),"")</f>
      </c>
      <c r="C18">
        <f>=IF(ISREF(Sheet16!B2),AVERAGE(Sheet16!B:B),"")</f>
      </c>
      <c r="D18">
        <f>=IF(ISREF(Sheet16!B2),MIN(Sheet16!B:B),"")</f>
      </c>
      <c r="E18">
        <f>=IF(ISREF(Sheet16!B2),MAX(Sheet16!B:B),"")</f>
      </c>
      <c r="F18">
        <f>=Information!C</f>
      </c>
      <c r="G18">
        <f>=IF(C18&gt;0,((C18-F18)/F18)*100,"")</f>
      </c>
      <c r="H18">
        <f>=IF(D18&gt;0,D18-F18,"")</f>
      </c>
      <c r="I18">
        <f>=IF(C18&gt;0,C18-F18,"")</f>
      </c>
      <c r="J18">
        <f>=IF(E18&gt;0,E18-F18,"")</f>
      </c>
      <c r="K18">
        <f>=Information!C</f>
      </c>
      <c r="L18">
        <f>=IF(B18&gt;K18,B18-K18,0)</f>
      </c>
      <c r="M18">
        <f>=Information!C</f>
      </c>
      <c r="N18">
        <f>=IF(L18&gt;0,PI()*((C18/2000)^2)*L18*M18*1000,"")</f>
      </c>
      <c r="O18">
        <f>=IF(L18&gt;0,PI()*((F18/2000)^2)*L18*M18*1000,"")</f>
      </c>
    </row>
    <row r="19" spans="1:15" x14ac:dyDescent="0.25">
      <c r="A19" t="s">
        <v>40</v>
      </c>
      <c r="B19">
        <f>=IF(ISREF(Sheet17!A2),MAX(Sheet17!A:A),"")</f>
      </c>
      <c r="C19">
        <f>=IF(ISREF(Sheet17!B2),AVERAGE(Sheet17!B:B),"")</f>
      </c>
      <c r="D19">
        <f>=IF(ISREF(Sheet17!B2),MIN(Sheet17!B:B),"")</f>
      </c>
      <c r="E19">
        <f>=IF(ISREF(Sheet17!B2),MAX(Sheet17!B:B),"")</f>
      </c>
      <c r="F19">
        <f>=Information!C</f>
      </c>
      <c r="G19">
        <f>=IF(C19&gt;0,((C19-F19)/F19)*100,"")</f>
      </c>
      <c r="H19">
        <f>=IF(D19&gt;0,D19-F19,"")</f>
      </c>
      <c r="I19">
        <f>=IF(C19&gt;0,C19-F19,"")</f>
      </c>
      <c r="J19">
        <f>=IF(E19&gt;0,E19-F19,"")</f>
      </c>
      <c r="K19">
        <f>=Information!C</f>
      </c>
      <c r="L19">
        <f>=IF(B19&gt;K19,B19-K19,0)</f>
      </c>
      <c r="M19">
        <f>=Information!C</f>
      </c>
      <c r="N19">
        <f>=IF(L19&gt;0,PI()*((C19/2000)^2)*L19*M19*1000,"")</f>
      </c>
      <c r="O19">
        <f>=IF(L19&gt;0,PI()*((F19/2000)^2)*L19*M19*1000,"")</f>
      </c>
    </row>
    <row r="20" spans="1:15" x14ac:dyDescent="0.25">
      <c r="A20" t="s">
        <v>41</v>
      </c>
      <c r="B20">
        <f>=IF(ISREF(Sheet18!A2),MAX(Sheet18!A:A),"")</f>
      </c>
      <c r="C20">
        <f>=IF(ISREF(Sheet18!B2),AVERAGE(Sheet18!B:B),"")</f>
      </c>
      <c r="D20">
        <f>=IF(ISREF(Sheet18!B2),MIN(Sheet18!B:B),"")</f>
      </c>
      <c r="E20">
        <f>=IF(ISREF(Sheet18!B2),MAX(Sheet18!B:B),"")</f>
      </c>
      <c r="F20">
        <f>=Information!C</f>
      </c>
      <c r="G20">
        <f>=IF(C20&gt;0,((C20-F20)/F20)*100,"")</f>
      </c>
      <c r="H20">
        <f>=IF(D20&gt;0,D20-F20,"")</f>
      </c>
      <c r="I20">
        <f>=IF(C20&gt;0,C20-F20,"")</f>
      </c>
      <c r="J20">
        <f>=IF(E20&gt;0,E20-F20,"")</f>
      </c>
      <c r="K20">
        <f>=Information!C</f>
      </c>
      <c r="L20">
        <f>=IF(B20&gt;K20,B20-K20,0)</f>
      </c>
      <c r="M20">
        <f>=Information!C</f>
      </c>
      <c r="N20">
        <f>=IF(L20&gt;0,PI()*((C20/2000)^2)*L20*M20*1000,"")</f>
      </c>
      <c r="O20">
        <f>=IF(L20&gt;0,PI()*((F20/2000)^2)*L20*M20*1000,"")</f>
      </c>
    </row>
    <row r="21" spans="1:15" x14ac:dyDescent="0.25">
      <c r="A21" t="s">
        <v>42</v>
      </c>
      <c r="B21">
        <f>=IF(ISREF(Sheet19!A2),MAX(Sheet19!A:A),"")</f>
      </c>
      <c r="C21">
        <f>=IF(ISREF(Sheet19!B2),AVERAGE(Sheet19!B:B),"")</f>
      </c>
      <c r="D21">
        <f>=IF(ISREF(Sheet19!B2),MIN(Sheet19!B:B),"")</f>
      </c>
      <c r="E21">
        <f>=IF(ISREF(Sheet19!B2),MAX(Sheet19!B:B),"")</f>
      </c>
      <c r="F21">
        <f>=Information!C</f>
      </c>
      <c r="G21">
        <f>=IF(C21&gt;0,((C21-F21)/F21)*100,"")</f>
      </c>
      <c r="H21">
        <f>=IF(D21&gt;0,D21-F21,"")</f>
      </c>
      <c r="I21">
        <f>=IF(C21&gt;0,C21-F21,"")</f>
      </c>
      <c r="J21">
        <f>=IF(E21&gt;0,E21-F21,"")</f>
      </c>
      <c r="K21">
        <f>=Information!C</f>
      </c>
      <c r="L21">
        <f>=IF(B21&gt;K21,B21-K21,0)</f>
      </c>
      <c r="M21">
        <f>=Information!C</f>
      </c>
      <c r="N21">
        <f>=IF(L21&gt;0,PI()*((C21/2000)^2)*L21*M21*1000,"")</f>
      </c>
      <c r="O21">
        <f>=IF(L21&gt;0,PI()*((F21/2000)^2)*L21*M21*1000,"")</f>
      </c>
    </row>
    <row r="22" spans="1:15" x14ac:dyDescent="0.25">
      <c r="A22" t="s">
        <v>43</v>
      </c>
      <c r="B22">
        <f>=IF(ISREF(Sheet20!A2),MAX(Sheet20!A:A),"")</f>
      </c>
      <c r="C22">
        <f>=IF(ISREF(Sheet20!B2),AVERAGE(Sheet20!B:B),"")</f>
      </c>
      <c r="D22">
        <f>=IF(ISREF(Sheet20!B2),MIN(Sheet20!B:B),"")</f>
      </c>
      <c r="E22">
        <f>=IF(ISREF(Sheet20!B2),MAX(Sheet20!B:B),"")</f>
      </c>
      <c r="F22">
        <f>=Information!C</f>
      </c>
      <c r="G22">
        <f>=IF(C22&gt;0,((C22-F22)/F22)*100,"")</f>
      </c>
      <c r="H22">
        <f>=IF(D22&gt;0,D22-F22,"")</f>
      </c>
      <c r="I22">
        <f>=IF(C22&gt;0,C22-F22,"")</f>
      </c>
      <c r="J22">
        <f>=IF(E22&gt;0,E22-F22,"")</f>
      </c>
      <c r="K22">
        <f>=Information!C</f>
      </c>
      <c r="L22">
        <f>=IF(B22&gt;K22,B22-K22,0)</f>
      </c>
      <c r="M22">
        <f>=Information!C</f>
      </c>
      <c r="N22">
        <f>=IF(L22&gt;0,PI()*((C22/2000)^2)*L22*M22*1000,"")</f>
      </c>
      <c r="O22">
        <f>=IF(L22&gt;0,PI()*((F22/2000)^2)*L22*M22*1000,"")</f>
      </c>
    </row>
    <row r="23" spans="1:15" x14ac:dyDescent="0.25">
      <c r="A23" t="s">
        <v>44</v>
      </c>
      <c r="B23">
        <f>=IF(ISREF(Sheet21!A2),MAX(Sheet21!A:A),"")</f>
      </c>
      <c r="C23">
        <f>=IF(ISREF(Sheet21!B2),AVERAGE(Sheet21!B:B),"")</f>
      </c>
      <c r="D23">
        <f>=IF(ISREF(Sheet21!B2),MIN(Sheet21!B:B),"")</f>
      </c>
      <c r="E23">
        <f>=IF(ISREF(Sheet21!B2),MAX(Sheet21!B:B),"")</f>
      </c>
      <c r="F23">
        <f>=Information!C</f>
      </c>
      <c r="G23">
        <f>=IF(C23&gt;0,((C23-F23)/F23)*100,"")</f>
      </c>
      <c r="H23">
        <f>=IF(D23&gt;0,D23-F23,"")</f>
      </c>
      <c r="I23">
        <f>=IF(C23&gt;0,C23-F23,"")</f>
      </c>
      <c r="J23">
        <f>=IF(E23&gt;0,E23-F23,"")</f>
      </c>
      <c r="K23">
        <f>=Information!C</f>
      </c>
      <c r="L23">
        <f>=IF(B23&gt;K23,B23-K23,0)</f>
      </c>
      <c r="M23">
        <f>=Information!C</f>
      </c>
      <c r="N23">
        <f>=IF(L23&gt;0,PI()*((C23/2000)^2)*L23*M23*1000,"")</f>
      </c>
      <c r="O23">
        <f>=IF(L23&gt;0,PI()*((F23/2000)^2)*L23*M23*1000,"")</f>
      </c>
    </row>
    <row r="24" spans="1:15" x14ac:dyDescent="0.25">
      <c r="A24" t="s">
        <v>45</v>
      </c>
      <c r="B24">
        <f>=IF(ISREF(Sheet22!A2),MAX(Sheet22!A:A),"")</f>
      </c>
      <c r="C24">
        <f>=IF(ISREF(Sheet22!B2),AVERAGE(Sheet22!B:B),"")</f>
      </c>
      <c r="D24">
        <f>=IF(ISREF(Sheet22!B2),MIN(Sheet22!B:B),"")</f>
      </c>
      <c r="E24">
        <f>=IF(ISREF(Sheet22!B2),MAX(Sheet22!B:B),"")</f>
      </c>
      <c r="F24">
        <f>=Information!C</f>
      </c>
      <c r="G24">
        <f>=IF(C24&gt;0,((C24-F24)/F24)*100,"")</f>
      </c>
      <c r="H24">
        <f>=IF(D24&gt;0,D24-F24,"")</f>
      </c>
      <c r="I24">
        <f>=IF(C24&gt;0,C24-F24,"")</f>
      </c>
      <c r="J24">
        <f>=IF(E24&gt;0,E24-F24,"")</f>
      </c>
      <c r="K24">
        <f>=Information!C</f>
      </c>
      <c r="L24">
        <f>=IF(B24&gt;K24,B24-K24,0)</f>
      </c>
      <c r="M24">
        <f>=Information!C</f>
      </c>
      <c r="N24">
        <f>=IF(L24&gt;0,PI()*((C24/2000)^2)*L24*M24*1000,"")</f>
      </c>
      <c r="O24">
        <f>=IF(L24&gt;0,PI()*((F24/2000)^2)*L24*M24*1000,"")</f>
      </c>
    </row>
    <row r="25" spans="1:15" x14ac:dyDescent="0.25">
      <c r="A25" t="s">
        <v>46</v>
      </c>
      <c r="B25">
        <f>=IF(ISREF(Sheet23!A2),MAX(Sheet23!A:A),"")</f>
      </c>
      <c r="C25">
        <f>=IF(ISREF(Sheet23!B2),AVERAGE(Sheet23!B:B),"")</f>
      </c>
      <c r="D25">
        <f>=IF(ISREF(Sheet23!B2),MIN(Sheet23!B:B),"")</f>
      </c>
      <c r="E25">
        <f>=IF(ISREF(Sheet23!B2),MAX(Sheet23!B:B),"")</f>
      </c>
      <c r="F25">
        <f>=Information!C</f>
      </c>
      <c r="G25">
        <f>=IF(C25&gt;0,((C25-F25)/F25)*100,"")</f>
      </c>
      <c r="H25">
        <f>=IF(D25&gt;0,D25-F25,"")</f>
      </c>
      <c r="I25">
        <f>=IF(C25&gt;0,C25-F25,"")</f>
      </c>
      <c r="J25">
        <f>=IF(E25&gt;0,E25-F25,"")</f>
      </c>
      <c r="K25">
        <f>=Information!C</f>
      </c>
      <c r="L25">
        <f>=IF(B25&gt;K25,B25-K25,0)</f>
      </c>
      <c r="M25">
        <f>=Information!C</f>
      </c>
      <c r="N25">
        <f>=IF(L25&gt;0,PI()*((C25/2000)^2)*L25*M25*1000,"")</f>
      </c>
      <c r="O25">
        <f>=IF(L25&gt;0,PI()*((F25/2000)^2)*L25*M25*1000,"")</f>
      </c>
    </row>
    <row r="26" spans="1:15" x14ac:dyDescent="0.25">
      <c r="A26" t="s">
        <v>47</v>
      </c>
      <c r="B26">
        <f>=IF(ISREF(Sheet24!A2),MAX(Sheet24!A:A),"")</f>
      </c>
      <c r="C26">
        <f>=IF(ISREF(Sheet24!B2),AVERAGE(Sheet24!B:B),"")</f>
      </c>
      <c r="D26">
        <f>=IF(ISREF(Sheet24!B2),MIN(Sheet24!B:B),"")</f>
      </c>
      <c r="E26">
        <f>=IF(ISREF(Sheet24!B2),MAX(Sheet24!B:B),"")</f>
      </c>
      <c r="F26">
        <f>=Information!C</f>
      </c>
      <c r="G26">
        <f>=IF(C26&gt;0,((C26-F26)/F26)*100,"")</f>
      </c>
      <c r="H26">
        <f>=IF(D26&gt;0,D26-F26,"")</f>
      </c>
      <c r="I26">
        <f>=IF(C26&gt;0,C26-F26,"")</f>
      </c>
      <c r="J26">
        <f>=IF(E26&gt;0,E26-F26,"")</f>
      </c>
      <c r="K26">
        <f>=Information!C</f>
      </c>
      <c r="L26">
        <f>=IF(B26&gt;K26,B26-K26,0)</f>
      </c>
      <c r="M26">
        <f>=Information!C</f>
      </c>
      <c r="N26">
        <f>=IF(L26&gt;0,PI()*((C26/2000)^2)*L26*M26*1000,"")</f>
      </c>
      <c r="O26">
        <f>=IF(L26&gt;0,PI()*((F26/2000)^2)*L26*M26*1000,"")</f>
      </c>
    </row>
    <row r="27" spans="1:15" x14ac:dyDescent="0.25">
      <c r="A27" t="s">
        <v>48</v>
      </c>
      <c r="B27">
        <f>=IF(ISREF(Sheet25!A2),MAX(Sheet25!A:A),"")</f>
      </c>
      <c r="C27">
        <f>=IF(ISREF(Sheet25!B2),AVERAGE(Sheet25!B:B),"")</f>
      </c>
      <c r="D27">
        <f>=IF(ISREF(Sheet25!B2),MIN(Sheet25!B:B),"")</f>
      </c>
      <c r="E27">
        <f>=IF(ISREF(Sheet25!B2),MAX(Sheet25!B:B),"")</f>
      </c>
      <c r="F27">
        <f>=Information!C</f>
      </c>
      <c r="G27">
        <f>=IF(C27&gt;0,((C27-F27)/F27)*100,"")</f>
      </c>
      <c r="H27">
        <f>=IF(D27&gt;0,D27-F27,"")</f>
      </c>
      <c r="I27">
        <f>=IF(C27&gt;0,C27-F27,"")</f>
      </c>
      <c r="J27">
        <f>=IF(E27&gt;0,E27-F27,"")</f>
      </c>
      <c r="K27">
        <f>=Information!C</f>
      </c>
      <c r="L27">
        <f>=IF(B27&gt;K27,B27-K27,0)</f>
      </c>
      <c r="M27">
        <f>=Information!C</f>
      </c>
      <c r="N27">
        <f>=IF(L27&gt;0,PI()*((C27/2000)^2)*L27*M27*1000,"")</f>
      </c>
      <c r="O27">
        <f>=IF(L27&gt;0,PI()*((F27/2000)^2)*L27*M27*1000,"")</f>
      </c>
    </row>
    <row r="28" spans="1:15" x14ac:dyDescent="0.25">
      <c r="A28" t="s">
        <v>49</v>
      </c>
      <c r="B28">
        <f>=IF(ISREF(Sheet26!A2),MAX(Sheet26!A:A),"")</f>
      </c>
      <c r="C28">
        <f>=IF(ISREF(Sheet26!B2),AVERAGE(Sheet26!B:B),"")</f>
      </c>
      <c r="D28">
        <f>=IF(ISREF(Sheet26!B2),MIN(Sheet26!B:B),"")</f>
      </c>
      <c r="E28">
        <f>=IF(ISREF(Sheet26!B2),MAX(Sheet26!B:B),"")</f>
      </c>
      <c r="F28">
        <f>=Information!C</f>
      </c>
      <c r="G28">
        <f>=IF(C28&gt;0,((C28-F28)/F28)*100,"")</f>
      </c>
      <c r="H28">
        <f>=IF(D28&gt;0,D28-F28,"")</f>
      </c>
      <c r="I28">
        <f>=IF(C28&gt;0,C28-F28,"")</f>
      </c>
      <c r="J28">
        <f>=IF(E28&gt;0,E28-F28,"")</f>
      </c>
      <c r="K28">
        <f>=Information!C</f>
      </c>
      <c r="L28">
        <f>=IF(B28&gt;K28,B28-K28,0)</f>
      </c>
      <c r="M28">
        <f>=Information!C</f>
      </c>
      <c r="N28">
        <f>=IF(L28&gt;0,PI()*((C28/2000)^2)*L28*M28*1000,"")</f>
      </c>
      <c r="O28">
        <f>=IF(L28&gt;0,PI()*((F28/2000)^2)*L28*M28*1000,"")</f>
      </c>
    </row>
    <row r="29" spans="1:15" x14ac:dyDescent="0.25">
      <c r="A29" t="s">
        <v>50</v>
      </c>
      <c r="B29">
        <f>=IF(ISREF(Sheet27!A2),MAX(Sheet27!A:A),"")</f>
      </c>
      <c r="C29">
        <f>=IF(ISREF(Sheet27!B2),AVERAGE(Sheet27!B:B),"")</f>
      </c>
      <c r="D29">
        <f>=IF(ISREF(Sheet27!B2),MIN(Sheet27!B:B),"")</f>
      </c>
      <c r="E29">
        <f>=IF(ISREF(Sheet27!B2),MAX(Sheet27!B:B),"")</f>
      </c>
      <c r="F29">
        <f>=Information!C</f>
      </c>
      <c r="G29">
        <f>=IF(C29&gt;0,((C29-F29)/F29)*100,"")</f>
      </c>
      <c r="H29">
        <f>=IF(D29&gt;0,D29-F29,"")</f>
      </c>
      <c r="I29">
        <f>=IF(C29&gt;0,C29-F29,"")</f>
      </c>
      <c r="J29">
        <f>=IF(E29&gt;0,E29-F29,"")</f>
      </c>
      <c r="K29">
        <f>=Information!C</f>
      </c>
      <c r="L29">
        <f>=IF(B29&gt;K29,B29-K29,0)</f>
      </c>
      <c r="M29">
        <f>=Information!C</f>
      </c>
      <c r="N29">
        <f>=IF(L29&gt;0,PI()*((C29/2000)^2)*L29*M29*1000,"")</f>
      </c>
      <c r="O29">
        <f>=IF(L29&gt;0,PI()*((F29/2000)^2)*L29*M29*1000,"")</f>
      </c>
    </row>
    <row r="30" spans="1:15" x14ac:dyDescent="0.25">
      <c r="A30" t="s">
        <v>51</v>
      </c>
      <c r="B30">
        <f>=IF(ISREF(Sheet28!A2),MAX(Sheet28!A:A),"")</f>
      </c>
      <c r="C30">
        <f>=IF(ISREF(Sheet28!B2),AVERAGE(Sheet28!B:B),"")</f>
      </c>
      <c r="D30">
        <f>=IF(ISREF(Sheet28!B2),MIN(Sheet28!B:B),"")</f>
      </c>
      <c r="E30">
        <f>=IF(ISREF(Sheet28!B2),MAX(Sheet28!B:B),"")</f>
      </c>
      <c r="F30">
        <f>=Information!C</f>
      </c>
      <c r="G30">
        <f>=IF(C30&gt;0,((C30-F30)/F30)*100,"")</f>
      </c>
      <c r="H30">
        <f>=IF(D30&gt;0,D30-F30,"")</f>
      </c>
      <c r="I30">
        <f>=IF(C30&gt;0,C30-F30,"")</f>
      </c>
      <c r="J30">
        <f>=IF(E30&gt;0,E30-F30,"")</f>
      </c>
      <c r="K30">
        <f>=Information!C</f>
      </c>
      <c r="L30">
        <f>=IF(B30&gt;K30,B30-K30,0)</f>
      </c>
      <c r="M30">
        <f>=Information!C</f>
      </c>
      <c r="N30">
        <f>=IF(L30&gt;0,PI()*((C30/2000)^2)*L30*M30*1000,"")</f>
      </c>
      <c r="O30">
        <f>=IF(L30&gt;0,PI()*((F30/2000)^2)*L30*M30*1000,"")</f>
      </c>
    </row>
    <row r="31" spans="1:15" x14ac:dyDescent="0.25">
      <c r="A31" t="s">
        <v>52</v>
      </c>
      <c r="B31">
        <f>=IF(ISREF(Sheet29!A2),MAX(Sheet29!A:A),"")</f>
      </c>
      <c r="C31">
        <f>=IF(ISREF(Sheet29!B2),AVERAGE(Sheet29!B:B),"")</f>
      </c>
      <c r="D31">
        <f>=IF(ISREF(Sheet29!B2),MIN(Sheet29!B:B),"")</f>
      </c>
      <c r="E31">
        <f>=IF(ISREF(Sheet29!B2),MAX(Sheet29!B:B),"")</f>
      </c>
      <c r="F31">
        <f>=Information!C</f>
      </c>
      <c r="G31">
        <f>=IF(C31&gt;0,((C31-F31)/F31)*100,"")</f>
      </c>
      <c r="H31">
        <f>=IF(D31&gt;0,D31-F31,"")</f>
      </c>
      <c r="I31">
        <f>=IF(C31&gt;0,C31-F31,"")</f>
      </c>
      <c r="J31">
        <f>=IF(E31&gt;0,E31-F31,"")</f>
      </c>
      <c r="K31">
        <f>=Information!C</f>
      </c>
      <c r="L31">
        <f>=IF(B31&gt;K31,B31-K31,0)</f>
      </c>
      <c r="M31">
        <f>=Information!C</f>
      </c>
      <c r="N31">
        <f>=IF(L31&gt;0,PI()*((C31/2000)^2)*L31*M31*1000,"")</f>
      </c>
      <c r="O31">
        <f>=IF(L31&gt;0,PI()*((F31/2000)^2)*L31*M31*1000,"")</f>
      </c>
    </row>
    <row r="32" spans="1:15" x14ac:dyDescent="0.25">
      <c r="A32" t="s">
        <v>53</v>
      </c>
      <c r="B32">
        <f>=IF(ISREF(Sheet30!A2),MAX(Sheet30!A:A),"")</f>
      </c>
      <c r="C32">
        <f>=IF(ISREF(Sheet30!B2),AVERAGE(Sheet30!B:B),"")</f>
      </c>
      <c r="D32">
        <f>=IF(ISREF(Sheet30!B2),MIN(Sheet30!B:B),"")</f>
      </c>
      <c r="E32">
        <f>=IF(ISREF(Sheet30!B2),MAX(Sheet30!B:B),"")</f>
      </c>
      <c r="F32">
        <f>=Information!C</f>
      </c>
      <c r="G32">
        <f>=IF(C32&gt;0,((C32-F32)/F32)*100,"")</f>
      </c>
      <c r="H32">
        <f>=IF(D32&gt;0,D32-F32,"")</f>
      </c>
      <c r="I32">
        <f>=IF(C32&gt;0,C32-F32,"")</f>
      </c>
      <c r="J32">
        <f>=IF(E32&gt;0,E32-F32,"")</f>
      </c>
      <c r="K32">
        <f>=Information!C</f>
      </c>
      <c r="L32">
        <f>=IF(B32&gt;K32,B32-K32,0)</f>
      </c>
      <c r="M32">
        <f>=Information!C</f>
      </c>
      <c r="N32">
        <f>=IF(L32&gt;0,PI()*((C32/2000)^2)*L32*M32*1000,"")</f>
      </c>
      <c r="O32">
        <f>=IF(L32&gt;0,PI()*((F32/2000)^2)*L32*M32*1000,"")</f>
      </c>
    </row>
    <row r="33" spans="1:15" x14ac:dyDescent="0.25">
      <c r="A33" t="s">
        <v>54</v>
      </c>
      <c r="B33">
        <f>=IF(ISREF(Sheet31!A2),MAX(Sheet31!A:A),"")</f>
      </c>
      <c r="C33">
        <f>=IF(ISREF(Sheet31!B2),AVERAGE(Sheet31!B:B),"")</f>
      </c>
      <c r="D33">
        <f>=IF(ISREF(Sheet31!B2),MIN(Sheet31!B:B),"")</f>
      </c>
      <c r="E33">
        <f>=IF(ISREF(Sheet31!B2),MAX(Sheet31!B:B),"")</f>
      </c>
      <c r="F33">
        <f>=Information!C</f>
      </c>
      <c r="G33">
        <f>=IF(C33&gt;0,((C33-F33)/F33)*100,"")</f>
      </c>
      <c r="H33">
        <f>=IF(D33&gt;0,D33-F33,"")</f>
      </c>
      <c r="I33">
        <f>=IF(C33&gt;0,C33-F33,"")</f>
      </c>
      <c r="J33">
        <f>=IF(E33&gt;0,E33-F33,"")</f>
      </c>
      <c r="K33">
        <f>=Information!C</f>
      </c>
      <c r="L33">
        <f>=IF(B33&gt;K33,B33-K33,0)</f>
      </c>
      <c r="M33">
        <f>=Information!C</f>
      </c>
      <c r="N33">
        <f>=IF(L33&gt;0,PI()*((C33/2000)^2)*L33*M33*1000,"")</f>
      </c>
      <c r="O33">
        <f>=IF(L33&gt;0,PI()*((F33/2000)^2)*L33*M33*1000,"")</f>
      </c>
    </row>
    <row r="34" spans="1:15" x14ac:dyDescent="0.25">
      <c r="A34" t="s">
        <v>55</v>
      </c>
      <c r="B34">
        <f>=IF(ISREF(Sheet32!A2),MAX(Sheet32!A:A),"")</f>
      </c>
      <c r="C34">
        <f>=IF(ISREF(Sheet32!B2),AVERAGE(Sheet32!B:B),"")</f>
      </c>
      <c r="D34">
        <f>=IF(ISREF(Sheet32!B2),MIN(Sheet32!B:B),"")</f>
      </c>
      <c r="E34">
        <f>=IF(ISREF(Sheet32!B2),MAX(Sheet32!B:B),"")</f>
      </c>
      <c r="F34">
        <f>=Information!C</f>
      </c>
      <c r="G34">
        <f>=IF(C34&gt;0,((C34-F34)/F34)*100,"")</f>
      </c>
      <c r="H34">
        <f>=IF(D34&gt;0,D34-F34,"")</f>
      </c>
      <c r="I34">
        <f>=IF(C34&gt;0,C34-F34,"")</f>
      </c>
      <c r="J34">
        <f>=IF(E34&gt;0,E34-F34,"")</f>
      </c>
      <c r="K34">
        <f>=Information!C</f>
      </c>
      <c r="L34">
        <f>=IF(B34&gt;K34,B34-K34,0)</f>
      </c>
      <c r="M34">
        <f>=Information!C</f>
      </c>
      <c r="N34">
        <f>=IF(L34&gt;0,PI()*((C34/2000)^2)*L34*M34*1000,"")</f>
      </c>
      <c r="O34">
        <f>=IF(L34&gt;0,PI()*((F34/2000)^2)*L34*M34*1000,"")</f>
      </c>
    </row>
    <row r="35" spans="1:15" x14ac:dyDescent="0.25">
      <c r="A35" t="s">
        <v>56</v>
      </c>
      <c r="B35">
        <f>=IF(ISREF(Sheet33!A2),MAX(Sheet33!A:A),"")</f>
      </c>
      <c r="C35">
        <f>=IF(ISREF(Sheet33!B2),AVERAGE(Sheet33!B:B),"")</f>
      </c>
      <c r="D35">
        <f>=IF(ISREF(Sheet33!B2),MIN(Sheet33!B:B),"")</f>
      </c>
      <c r="E35">
        <f>=IF(ISREF(Sheet33!B2),MAX(Sheet33!B:B),"")</f>
      </c>
      <c r="F35">
        <f>=Information!C</f>
      </c>
      <c r="G35">
        <f>=IF(C35&gt;0,((C35-F35)/F35)*100,"")</f>
      </c>
      <c r="H35">
        <f>=IF(D35&gt;0,D35-F35,"")</f>
      </c>
      <c r="I35">
        <f>=IF(C35&gt;0,C35-F35,"")</f>
      </c>
      <c r="J35">
        <f>=IF(E35&gt;0,E35-F35,"")</f>
      </c>
      <c r="K35">
        <f>=Information!C</f>
      </c>
      <c r="L35">
        <f>=IF(B35&gt;K35,B35-K35,0)</f>
      </c>
      <c r="M35">
        <f>=Information!C</f>
      </c>
      <c r="N35">
        <f>=IF(L35&gt;0,PI()*((C35/2000)^2)*L35*M35*1000,"")</f>
      </c>
      <c r="O35">
        <f>=IF(L35&gt;0,PI()*((F35/2000)^2)*L35*M35*1000,"")</f>
      </c>
    </row>
    <row r="36" spans="1:15" x14ac:dyDescent="0.25">
      <c r="A36" t="s">
        <v>57</v>
      </c>
      <c r="B36">
        <f>=IF(ISREF(Sheet34!A2),MAX(Sheet34!A:A),"")</f>
      </c>
      <c r="C36">
        <f>=IF(ISREF(Sheet34!B2),AVERAGE(Sheet34!B:B),"")</f>
      </c>
      <c r="D36">
        <f>=IF(ISREF(Sheet34!B2),MIN(Sheet34!B:B),"")</f>
      </c>
      <c r="E36">
        <f>=IF(ISREF(Sheet34!B2),MAX(Sheet34!B:B),"")</f>
      </c>
      <c r="F36">
        <f>=Information!C</f>
      </c>
      <c r="G36">
        <f>=IF(C36&gt;0,((C36-F36)/F36)*100,"")</f>
      </c>
      <c r="H36">
        <f>=IF(D36&gt;0,D36-F36,"")</f>
      </c>
      <c r="I36">
        <f>=IF(C36&gt;0,C36-F36,"")</f>
      </c>
      <c r="J36">
        <f>=IF(E36&gt;0,E36-F36,"")</f>
      </c>
      <c r="K36">
        <f>=Information!C</f>
      </c>
      <c r="L36">
        <f>=IF(B36&gt;K36,B36-K36,0)</f>
      </c>
      <c r="M36">
        <f>=Information!C</f>
      </c>
      <c r="N36">
        <f>=IF(L36&gt;0,PI()*((C36/2000)^2)*L36*M36*1000,"")</f>
      </c>
      <c r="O36">
        <f>=IF(L36&gt;0,PI()*((F36/2000)^2)*L36*M36*1000,"")</f>
      </c>
    </row>
    <row r="37" spans="1:15" x14ac:dyDescent="0.25">
      <c r="A37" t="s">
        <v>58</v>
      </c>
      <c r="B37">
        <f>=IF(ISREF(Sheet35!A2),MAX(Sheet35!A:A),"")</f>
      </c>
      <c r="C37">
        <f>=IF(ISREF(Sheet35!B2),AVERAGE(Sheet35!B:B),"")</f>
      </c>
      <c r="D37">
        <f>=IF(ISREF(Sheet35!B2),MIN(Sheet35!B:B),"")</f>
      </c>
      <c r="E37">
        <f>=IF(ISREF(Sheet35!B2),MAX(Sheet35!B:B),"")</f>
      </c>
      <c r="F37">
        <f>=Information!C</f>
      </c>
      <c r="G37">
        <f>=IF(C37&gt;0,((C37-F37)/F37)*100,"")</f>
      </c>
      <c r="H37">
        <f>=IF(D37&gt;0,D37-F37,"")</f>
      </c>
      <c r="I37">
        <f>=IF(C37&gt;0,C37-F37,"")</f>
      </c>
      <c r="J37">
        <f>=IF(E37&gt;0,E37-F37,"")</f>
      </c>
      <c r="K37">
        <f>=Information!C</f>
      </c>
      <c r="L37">
        <f>=IF(B37&gt;K37,B37-K37,0)</f>
      </c>
      <c r="M37">
        <f>=Information!C</f>
      </c>
      <c r="N37">
        <f>=IF(L37&gt;0,PI()*((C37/2000)^2)*L37*M37*1000,"")</f>
      </c>
      <c r="O37">
        <f>=IF(L37&gt;0,PI()*((F37/2000)^2)*L37*M37*1000,"")</f>
      </c>
    </row>
    <row r="38" spans="1:15" x14ac:dyDescent="0.25">
      <c r="A38" t="s">
        <v>59</v>
      </c>
      <c r="B38">
        <f>=IF(ISREF(Sheet36!A2),MAX(Sheet36!A:A),"")</f>
      </c>
      <c r="C38">
        <f>=IF(ISREF(Sheet36!B2),AVERAGE(Sheet36!B:B),"")</f>
      </c>
      <c r="D38">
        <f>=IF(ISREF(Sheet36!B2),MIN(Sheet36!B:B),"")</f>
      </c>
      <c r="E38">
        <f>=IF(ISREF(Sheet36!B2),MAX(Sheet36!B:B),"")</f>
      </c>
      <c r="F38">
        <f>=Information!C</f>
      </c>
      <c r="G38">
        <f>=IF(C38&gt;0,((C38-F38)/F38)*100,"")</f>
      </c>
      <c r="H38">
        <f>=IF(D38&gt;0,D38-F38,"")</f>
      </c>
      <c r="I38">
        <f>=IF(C38&gt;0,C38-F38,"")</f>
      </c>
      <c r="J38">
        <f>=IF(E38&gt;0,E38-F38,"")</f>
      </c>
      <c r="K38">
        <f>=Information!C</f>
      </c>
      <c r="L38">
        <f>=IF(B38&gt;K38,B38-K38,0)</f>
      </c>
      <c r="M38">
        <f>=Information!C</f>
      </c>
      <c r="N38">
        <f>=IF(L38&gt;0,PI()*((C38/2000)^2)*L38*M38*1000,"")</f>
      </c>
      <c r="O38">
        <f>=IF(L38&gt;0,PI()*((F38/2000)^2)*L38*M38*1000,"")</f>
      </c>
    </row>
    <row r="39" spans="1:15" x14ac:dyDescent="0.25">
      <c r="A39" t="s">
        <v>60</v>
      </c>
      <c r="B39">
        <f>=IF(ISREF(Sheet37!A2),MAX(Sheet37!A:A),"")</f>
      </c>
      <c r="C39">
        <f>=IF(ISREF(Sheet37!B2),AVERAGE(Sheet37!B:B),"")</f>
      </c>
      <c r="D39">
        <f>=IF(ISREF(Sheet37!B2),MIN(Sheet37!B:B),"")</f>
      </c>
      <c r="E39">
        <f>=IF(ISREF(Sheet37!B2),MAX(Sheet37!B:B),"")</f>
      </c>
      <c r="F39">
        <f>=Information!C</f>
      </c>
      <c r="G39">
        <f>=IF(C39&gt;0,((C39-F39)/F39)*100,"")</f>
      </c>
      <c r="H39">
        <f>=IF(D39&gt;0,D39-F39,"")</f>
      </c>
      <c r="I39">
        <f>=IF(C39&gt;0,C39-F39,"")</f>
      </c>
      <c r="J39">
        <f>=IF(E39&gt;0,E39-F39,"")</f>
      </c>
      <c r="K39">
        <f>=Information!C</f>
      </c>
      <c r="L39">
        <f>=IF(B39&gt;K39,B39-K39,0)</f>
      </c>
      <c r="M39">
        <f>=Information!C</f>
      </c>
      <c r="N39">
        <f>=IF(L39&gt;0,PI()*((C39/2000)^2)*L39*M39*1000,"")</f>
      </c>
      <c r="O39">
        <f>=IF(L39&gt;0,PI()*((F39/2000)^2)*L39*M39*1000,"")</f>
      </c>
    </row>
    <row r="40" spans="1:15" x14ac:dyDescent="0.25">
      <c r="A40" t="s">
        <v>61</v>
      </c>
      <c r="B40">
        <f>=IF(ISREF(Sheet38!A2),MAX(Sheet38!A:A),"")</f>
      </c>
      <c r="C40">
        <f>=IF(ISREF(Sheet38!B2),AVERAGE(Sheet38!B:B),"")</f>
      </c>
      <c r="D40">
        <f>=IF(ISREF(Sheet38!B2),MIN(Sheet38!B:B),"")</f>
      </c>
      <c r="E40">
        <f>=IF(ISREF(Sheet38!B2),MAX(Sheet38!B:B),"")</f>
      </c>
      <c r="F40">
        <f>=Information!C</f>
      </c>
      <c r="G40">
        <f>=IF(C40&gt;0,((C40-F40)/F40)*100,"")</f>
      </c>
      <c r="H40">
        <f>=IF(D40&gt;0,D40-F40,"")</f>
      </c>
      <c r="I40">
        <f>=IF(C40&gt;0,C40-F40,"")</f>
      </c>
      <c r="J40">
        <f>=IF(E40&gt;0,E40-F40,"")</f>
      </c>
      <c r="K40">
        <f>=Information!C</f>
      </c>
      <c r="L40">
        <f>=IF(B40&gt;K40,B40-K40,0)</f>
      </c>
      <c r="M40">
        <f>=Information!C</f>
      </c>
      <c r="N40">
        <f>=IF(L40&gt;0,PI()*((C40/2000)^2)*L40*M40*1000,"")</f>
      </c>
      <c r="O40">
        <f>=IF(L40&gt;0,PI()*((F40/2000)^2)*L40*M40*1000,"")</f>
      </c>
    </row>
    <row r="41" spans="1:15" x14ac:dyDescent="0.25">
      <c r="A41" t="s">
        <v>62</v>
      </c>
      <c r="B41">
        <f>=IF(ISREF(Sheet39!A2),MAX(Sheet39!A:A),"")</f>
      </c>
      <c r="C41">
        <f>=IF(ISREF(Sheet39!B2),AVERAGE(Sheet39!B:B),"")</f>
      </c>
      <c r="D41">
        <f>=IF(ISREF(Sheet39!B2),MIN(Sheet39!B:B),"")</f>
      </c>
      <c r="E41">
        <f>=IF(ISREF(Sheet39!B2),MAX(Sheet39!B:B),"")</f>
      </c>
      <c r="F41">
        <f>=Information!C</f>
      </c>
      <c r="G41">
        <f>=IF(C41&gt;0,((C41-F41)/F41)*100,"")</f>
      </c>
      <c r="H41">
        <f>=IF(D41&gt;0,D41-F41,"")</f>
      </c>
      <c r="I41">
        <f>=IF(C41&gt;0,C41-F41,"")</f>
      </c>
      <c r="J41">
        <f>=IF(E41&gt;0,E41-F41,"")</f>
      </c>
      <c r="K41">
        <f>=Information!C</f>
      </c>
      <c r="L41">
        <f>=IF(B41&gt;K41,B41-K41,0)</f>
      </c>
      <c r="M41">
        <f>=Information!C</f>
      </c>
      <c r="N41">
        <f>=IF(L41&gt;0,PI()*((C41/2000)^2)*L41*M41*1000,"")</f>
      </c>
      <c r="O41">
        <f>=IF(L41&gt;0,PI()*((F41/2000)^2)*L41*M41*1000,"")</f>
      </c>
    </row>
    <row r="42" spans="1:15" x14ac:dyDescent="0.25">
      <c r="A42" t="s">
        <v>63</v>
      </c>
      <c r="B42">
        <f>=IF(ISREF(Sheet40!A2),MAX(Sheet40!A:A),"")</f>
      </c>
      <c r="C42">
        <f>=IF(ISREF(Sheet40!B2),AVERAGE(Sheet40!B:B),"")</f>
      </c>
      <c r="D42">
        <f>=IF(ISREF(Sheet40!B2),MIN(Sheet40!B:B),"")</f>
      </c>
      <c r="E42">
        <f>=IF(ISREF(Sheet40!B2),MAX(Sheet40!B:B),"")</f>
      </c>
      <c r="F42">
        <f>=Information!C</f>
      </c>
      <c r="G42">
        <f>=IF(C42&gt;0,((C42-F42)/F42)*100,"")</f>
      </c>
      <c r="H42">
        <f>=IF(D42&gt;0,D42-F42,"")</f>
      </c>
      <c r="I42">
        <f>=IF(C42&gt;0,C42-F42,"")</f>
      </c>
      <c r="J42">
        <f>=IF(E42&gt;0,E42-F42,"")</f>
      </c>
      <c r="K42">
        <f>=Information!C</f>
      </c>
      <c r="L42">
        <f>=IF(B42&gt;K42,B42-K42,0)</f>
      </c>
      <c r="M42">
        <f>=Information!C</f>
      </c>
      <c r="N42">
        <f>=IF(L42&gt;0,PI()*((C42/2000)^2)*L42*M42*1000,"")</f>
      </c>
      <c r="O42">
        <f>=IF(L42&gt;0,PI()*((F42/2000)^2)*L42*M42*1000,"")</f>
      </c>
    </row>
    <row r="43" spans="1:15" x14ac:dyDescent="0.25">
      <c r="A43" t="s">
        <v>64</v>
      </c>
      <c r="B43">
        <f>=IF(ISREF(Sheet41!A2),MAX(Sheet41!A:A),"")</f>
      </c>
      <c r="C43">
        <f>=IF(ISREF(Sheet41!B2),AVERAGE(Sheet41!B:B),"")</f>
      </c>
      <c r="D43">
        <f>=IF(ISREF(Sheet41!B2),MIN(Sheet41!B:B),"")</f>
      </c>
      <c r="E43">
        <f>=IF(ISREF(Sheet41!B2),MAX(Sheet41!B:B),"")</f>
      </c>
      <c r="F43">
        <f>=Information!C</f>
      </c>
      <c r="G43">
        <f>=IF(C43&gt;0,((C43-F43)/F43)*100,"")</f>
      </c>
      <c r="H43">
        <f>=IF(D43&gt;0,D43-F43,"")</f>
      </c>
      <c r="I43">
        <f>=IF(C43&gt;0,C43-F43,"")</f>
      </c>
      <c r="J43">
        <f>=IF(E43&gt;0,E43-F43,"")</f>
      </c>
      <c r="K43">
        <f>=Information!C</f>
      </c>
      <c r="L43">
        <f>=IF(B43&gt;K43,B43-K43,0)</f>
      </c>
      <c r="M43">
        <f>=Information!C</f>
      </c>
      <c r="N43">
        <f>=IF(L43&gt;0,PI()*((C43/2000)^2)*L43*M43*1000,"")</f>
      </c>
      <c r="O43">
        <f>=IF(L43&gt;0,PI()*((F43/2000)^2)*L43*M43*1000,"")</f>
      </c>
    </row>
    <row r="44" spans="1:15" x14ac:dyDescent="0.25">
      <c r="A44" t="s">
        <v>65</v>
      </c>
      <c r="B44">
        <f>=IF(ISREF(Sheet42!A2),MAX(Sheet42!A:A),"")</f>
      </c>
      <c r="C44">
        <f>=IF(ISREF(Sheet42!B2),AVERAGE(Sheet42!B:B),"")</f>
      </c>
      <c r="D44">
        <f>=IF(ISREF(Sheet42!B2),MIN(Sheet42!B:B),"")</f>
      </c>
      <c r="E44">
        <f>=IF(ISREF(Sheet42!B2),MAX(Sheet42!B:B),"")</f>
      </c>
      <c r="F44">
        <f>=Information!C</f>
      </c>
      <c r="G44">
        <f>=IF(C44&gt;0,((C44-F44)/F44)*100,"")</f>
      </c>
      <c r="H44">
        <f>=IF(D44&gt;0,D44-F44,"")</f>
      </c>
      <c r="I44">
        <f>=IF(C44&gt;0,C44-F44,"")</f>
      </c>
      <c r="J44">
        <f>=IF(E44&gt;0,E44-F44,"")</f>
      </c>
      <c r="K44">
        <f>=Information!C</f>
      </c>
      <c r="L44">
        <f>=IF(B44&gt;K44,B44-K44,0)</f>
      </c>
      <c r="M44">
        <f>=Information!C</f>
      </c>
      <c r="N44">
        <f>=IF(L44&gt;0,PI()*((C44/2000)^2)*L44*M44*1000,"")</f>
      </c>
      <c r="O44">
        <f>=IF(L44&gt;0,PI()*((F44/2000)^2)*L44*M44*1000,"")</f>
      </c>
    </row>
    <row r="45" spans="1:15" x14ac:dyDescent="0.25">
      <c r="A45" t="s">
        <v>66</v>
      </c>
      <c r="B45">
        <f>=IF(ISREF(Sheet43!A2),MAX(Sheet43!A:A),"")</f>
      </c>
      <c r="C45">
        <f>=IF(ISREF(Sheet43!B2),AVERAGE(Sheet43!B:B),"")</f>
      </c>
      <c r="D45">
        <f>=IF(ISREF(Sheet43!B2),MIN(Sheet43!B:B),"")</f>
      </c>
      <c r="E45">
        <f>=IF(ISREF(Sheet43!B2),MAX(Sheet43!B:B),"")</f>
      </c>
      <c r="F45">
        <f>=Information!C</f>
      </c>
      <c r="G45">
        <f>=IF(C45&gt;0,((C45-F45)/F45)*100,"")</f>
      </c>
      <c r="H45">
        <f>=IF(D45&gt;0,D45-F45,"")</f>
      </c>
      <c r="I45">
        <f>=IF(C45&gt;0,C45-F45,"")</f>
      </c>
      <c r="J45">
        <f>=IF(E45&gt;0,E45-F45,"")</f>
      </c>
      <c r="K45">
        <f>=Information!C</f>
      </c>
      <c r="L45">
        <f>=IF(B45&gt;K45,B45-K45,0)</f>
      </c>
      <c r="M45">
        <f>=Information!C</f>
      </c>
      <c r="N45">
        <f>=IF(L45&gt;0,PI()*((C45/2000)^2)*L45*M45*1000,"")</f>
      </c>
      <c r="O45">
        <f>=IF(L45&gt;0,PI()*((F45/2000)^2)*L45*M45*1000,"")</f>
      </c>
    </row>
    <row r="46" spans="1:15" x14ac:dyDescent="0.25">
      <c r="A46" t="s">
        <v>67</v>
      </c>
      <c r="B46">
        <f>=IF(ISREF(Sheet44!A2),MAX(Sheet44!A:A),"")</f>
      </c>
      <c r="C46">
        <f>=IF(ISREF(Sheet44!B2),AVERAGE(Sheet44!B:B),"")</f>
      </c>
      <c r="D46">
        <f>=IF(ISREF(Sheet44!B2),MIN(Sheet44!B:B),"")</f>
      </c>
      <c r="E46">
        <f>=IF(ISREF(Sheet44!B2),MAX(Sheet44!B:B),"")</f>
      </c>
      <c r="F46">
        <f>=Information!C</f>
      </c>
      <c r="G46">
        <f>=IF(C46&gt;0,((C46-F46)/F46)*100,"")</f>
      </c>
      <c r="H46">
        <f>=IF(D46&gt;0,D46-F46,"")</f>
      </c>
      <c r="I46">
        <f>=IF(C46&gt;0,C46-F46,"")</f>
      </c>
      <c r="J46">
        <f>=IF(E46&gt;0,E46-F46,"")</f>
      </c>
      <c r="K46">
        <f>=Information!C</f>
      </c>
      <c r="L46">
        <f>=IF(B46&gt;K46,B46-K46,0)</f>
      </c>
      <c r="M46">
        <f>=Information!C</f>
      </c>
      <c r="N46">
        <f>=IF(L46&gt;0,PI()*((C46/2000)^2)*L46*M46*1000,"")</f>
      </c>
      <c r="O46">
        <f>=IF(L46&gt;0,PI()*((F46/2000)^2)*L46*M46*1000,"")</f>
      </c>
    </row>
    <row r="47" spans="1:15" x14ac:dyDescent="0.25">
      <c r="A47" t="s">
        <v>68</v>
      </c>
      <c r="B47">
        <f>=IF(ISREF(Sheet45!A2),MAX(Sheet45!A:A),"")</f>
      </c>
      <c r="C47">
        <f>=IF(ISREF(Sheet45!B2),AVERAGE(Sheet45!B:B),"")</f>
      </c>
      <c r="D47">
        <f>=IF(ISREF(Sheet45!B2),MIN(Sheet45!B:B),"")</f>
      </c>
      <c r="E47">
        <f>=IF(ISREF(Sheet45!B2),MAX(Sheet45!B:B),"")</f>
      </c>
      <c r="F47">
        <f>=Information!C</f>
      </c>
      <c r="G47">
        <f>=IF(C47&gt;0,((C47-F47)/F47)*100,"")</f>
      </c>
      <c r="H47">
        <f>=IF(D47&gt;0,D47-F47,"")</f>
      </c>
      <c r="I47">
        <f>=IF(C47&gt;0,C47-F47,"")</f>
      </c>
      <c r="J47">
        <f>=IF(E47&gt;0,E47-F47,"")</f>
      </c>
      <c r="K47">
        <f>=Information!C</f>
      </c>
      <c r="L47">
        <f>=IF(B47&gt;K47,B47-K47,0)</f>
      </c>
      <c r="M47">
        <f>=Information!C</f>
      </c>
      <c r="N47">
        <f>=IF(L47&gt;0,PI()*((C47/2000)^2)*L47*M47*1000,"")</f>
      </c>
      <c r="O47">
        <f>=IF(L47&gt;0,PI()*((F47/2000)^2)*L47*M47*1000,"")</f>
      </c>
    </row>
    <row r="48" spans="1:15" x14ac:dyDescent="0.25">
      <c r="A48" t="s">
        <v>69</v>
      </c>
      <c r="B48">
        <f>=IF(ISREF(Sheet46!A2),MAX(Sheet46!A:A),"")</f>
      </c>
      <c r="C48">
        <f>=IF(ISREF(Sheet46!B2),AVERAGE(Sheet46!B:B),"")</f>
      </c>
      <c r="D48">
        <f>=IF(ISREF(Sheet46!B2),MIN(Sheet46!B:B),"")</f>
      </c>
      <c r="E48">
        <f>=IF(ISREF(Sheet46!B2),MAX(Sheet46!B:B),"")</f>
      </c>
      <c r="F48">
        <f>=Information!C</f>
      </c>
      <c r="G48">
        <f>=IF(C48&gt;0,((C48-F48)/F48)*100,"")</f>
      </c>
      <c r="H48">
        <f>=IF(D48&gt;0,D48-F48,"")</f>
      </c>
      <c r="I48">
        <f>=IF(C48&gt;0,C48-F48,"")</f>
      </c>
      <c r="J48">
        <f>=IF(E48&gt;0,E48-F48,"")</f>
      </c>
      <c r="K48">
        <f>=Information!C</f>
      </c>
      <c r="L48">
        <f>=IF(B48&gt;K48,B48-K48,0)</f>
      </c>
      <c r="M48">
        <f>=Information!C</f>
      </c>
      <c r="N48">
        <f>=IF(L48&gt;0,PI()*((C48/2000)^2)*L48*M48*1000,"")</f>
      </c>
      <c r="O48">
        <f>=IF(L48&gt;0,PI()*((F48/2000)^2)*L48*M48*1000,"")</f>
      </c>
    </row>
    <row r="49" spans="1:15" x14ac:dyDescent="0.25">
      <c r="A49" t="s">
        <v>70</v>
      </c>
      <c r="B49">
        <f>=IF(ISREF(Sheet47!A2),MAX(Sheet47!A:A),"")</f>
      </c>
      <c r="C49">
        <f>=IF(ISREF(Sheet47!B2),AVERAGE(Sheet47!B:B),"")</f>
      </c>
      <c r="D49">
        <f>=IF(ISREF(Sheet47!B2),MIN(Sheet47!B:B),"")</f>
      </c>
      <c r="E49">
        <f>=IF(ISREF(Sheet47!B2),MAX(Sheet47!B:B),"")</f>
      </c>
      <c r="F49">
        <f>=Information!C</f>
      </c>
      <c r="G49">
        <f>=IF(C49&gt;0,((C49-F49)/F49)*100,"")</f>
      </c>
      <c r="H49">
        <f>=IF(D49&gt;0,D49-F49,"")</f>
      </c>
      <c r="I49">
        <f>=IF(C49&gt;0,C49-F49,"")</f>
      </c>
      <c r="J49">
        <f>=IF(E49&gt;0,E49-F49,"")</f>
      </c>
      <c r="K49">
        <f>=Information!C</f>
      </c>
      <c r="L49">
        <f>=IF(B49&gt;K49,B49-K49,0)</f>
      </c>
      <c r="M49">
        <f>=Information!C</f>
      </c>
      <c r="N49">
        <f>=IF(L49&gt;0,PI()*((C49/2000)^2)*L49*M49*1000,"")</f>
      </c>
      <c r="O49">
        <f>=IF(L49&gt;0,PI()*((F49/2000)^2)*L49*M49*1000,"")</f>
      </c>
    </row>
    <row r="50" spans="1:15" x14ac:dyDescent="0.25">
      <c r="A50" t="s">
        <v>71</v>
      </c>
      <c r="B50">
        <f>=IF(ISREF(Sheet48!A2),MAX(Sheet48!A:A),"")</f>
      </c>
      <c r="C50">
        <f>=IF(ISREF(Sheet48!B2),AVERAGE(Sheet48!B:B),"")</f>
      </c>
      <c r="D50">
        <f>=IF(ISREF(Sheet48!B2),MIN(Sheet48!B:B),"")</f>
      </c>
      <c r="E50">
        <f>=IF(ISREF(Sheet48!B2),MAX(Sheet48!B:B),"")</f>
      </c>
      <c r="F50">
        <f>=Information!C</f>
      </c>
      <c r="G50">
        <f>=IF(C50&gt;0,((C50-F50)/F50)*100,"")</f>
      </c>
      <c r="H50">
        <f>=IF(D50&gt;0,D50-F50,"")</f>
      </c>
      <c r="I50">
        <f>=IF(C50&gt;0,C50-F50,"")</f>
      </c>
      <c r="J50">
        <f>=IF(E50&gt;0,E50-F50,"")</f>
      </c>
      <c r="K50">
        <f>=Information!C</f>
      </c>
      <c r="L50">
        <f>=IF(B50&gt;K50,B50-K50,0)</f>
      </c>
      <c r="M50">
        <f>=Information!C</f>
      </c>
      <c r="N50">
        <f>=IF(L50&gt;0,PI()*((C50/2000)^2)*L50*M50*1000,"")</f>
      </c>
      <c r="O50">
        <f>=IF(L50&gt;0,PI()*((F50/2000)^2)*L50*M50*1000,"")</f>
      </c>
    </row>
    <row r="51" spans="1:15" x14ac:dyDescent="0.25">
      <c r="A51" t="s">
        <v>72</v>
      </c>
      <c r="B51">
        <f>=IF(ISREF(Sheet49!A2),MAX(Sheet49!A:A),"")</f>
      </c>
      <c r="C51">
        <f>=IF(ISREF(Sheet49!B2),AVERAGE(Sheet49!B:B),"")</f>
      </c>
      <c r="D51">
        <f>=IF(ISREF(Sheet49!B2),MIN(Sheet49!B:B),"")</f>
      </c>
      <c r="E51">
        <f>=IF(ISREF(Sheet49!B2),MAX(Sheet49!B:B),"")</f>
      </c>
      <c r="F51">
        <f>=Information!C</f>
      </c>
      <c r="G51">
        <f>=IF(C51&gt;0,((C51-F51)/F51)*100,"")</f>
      </c>
      <c r="H51">
        <f>=IF(D51&gt;0,D51-F51,"")</f>
      </c>
      <c r="I51">
        <f>=IF(C51&gt;0,C51-F51,"")</f>
      </c>
      <c r="J51">
        <f>=IF(E51&gt;0,E51-F51,"")</f>
      </c>
      <c r="K51">
        <f>=Information!C</f>
      </c>
      <c r="L51">
        <f>=IF(B51&gt;K51,B51-K51,0)</f>
      </c>
      <c r="M51">
        <f>=Information!C</f>
      </c>
      <c r="N51">
        <f>=IF(L51&gt;0,PI()*((C51/2000)^2)*L51*M51*1000,"")</f>
      </c>
      <c r="O51">
        <f>=IF(L51&gt;0,PI()*((F51/2000)^2)*L51*M51*1000,"")</f>
      </c>
    </row>
    <row r="52" spans="1:15" x14ac:dyDescent="0.25">
      <c r="A52" t="s">
        <v>73</v>
      </c>
      <c r="B52">
        <f>=IF(ISREF(Sheet50!A2),MAX(Sheet50!A:A),"")</f>
      </c>
      <c r="C52">
        <f>=IF(ISREF(Sheet50!B2),AVERAGE(Sheet50!B:B),"")</f>
      </c>
      <c r="D52">
        <f>=IF(ISREF(Sheet50!B2),MIN(Sheet50!B:B),"")</f>
      </c>
      <c r="E52">
        <f>=IF(ISREF(Sheet50!B2),MAX(Sheet50!B:B),"")</f>
      </c>
      <c r="F52">
        <f>=Information!C</f>
      </c>
      <c r="G52">
        <f>=IF(C52&gt;0,((C52-F52)/F52)*100,"")</f>
      </c>
      <c r="H52">
        <f>=IF(D52&gt;0,D52-F52,"")</f>
      </c>
      <c r="I52">
        <f>=IF(C52&gt;0,C52-F52,"")</f>
      </c>
      <c r="J52">
        <f>=IF(E52&gt;0,E52-F52,"")</f>
      </c>
      <c r="K52">
        <f>=Information!C</f>
      </c>
      <c r="L52">
        <f>=IF(B52&gt;K52,B52-K52,0)</f>
      </c>
      <c r="M52">
        <f>=Information!C</f>
      </c>
      <c r="N52">
        <f>=IF(L52&gt;0,PI()*((C52/2000)^2)*L52*M52*1000,"")</f>
      </c>
      <c r="O52">
        <f>=IF(L52&gt;0,PI()*((F52/2000)^2)*L52*M52*1000,"")</f>
      </c>
    </row>
    <row r="53" spans="1:1" s="6" customFormat="1" x14ac:dyDescent="0.25">
      <c r="A53" s="7" t="s">
        <v>74</v>
      </c>
    </row>
    <row r="54" spans="1:1" s="8" customFormat="1" x14ac:dyDescent="0.25">
      <c r="A54" s="9" t="s">
        <v>75</v>
      </c>
    </row>
    <row r="55" spans="1:1" s="6" customFormat="1" x14ac:dyDescent="0.25">
      <c r="A55" s="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/>
  </sheetViews>
  <sheetFormatPr defaultRowHeight="15" outlineLevelRow="0" outlineLevelCol="0" x14ac:dyDescent="55"/>
  <sheetData>
    <row r="1" spans="1:1" x14ac:dyDescent="0.25">
      <c r="A1" s="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8" width="14" customWidth="1"/>
    <col min="9" max="11" width="8" customWidth="1"/>
    <col min="12" max="12" width="22" customWidth="1"/>
  </cols>
  <sheetData>
    <row r="1" spans="1:12" x14ac:dyDescent="0.25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14</v>
      </c>
      <c r="H1" s="11" t="s">
        <v>84</v>
      </c>
      <c r="L1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Information</vt:lpstr>
      <vt:lpstr>Table</vt:lpstr>
      <vt:lpstr>Graphs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BME Mining</dc:creator>
  <dc:title/>
  <dc:subject/>
  <dc:description/>
  <cp:keywords/>
  <cp:category/>
  <cp:lastModifiedBy>BME Caliper Tool</cp:lastModifiedBy>
  <dcterms:created xsi:type="dcterms:W3CDTF">2026-09-10T08:07:55Z</dcterms:created>
  <dcterms:modified xsi:type="dcterms:W3CDTF">2026-09-10T08:07:55Z</dcterms:modified>
</cp:coreProperties>
</file>